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ethanmahon/Desktop/CivFlow AI/civflow/docs/"/>
    </mc:Choice>
  </mc:AlternateContent>
  <xr:revisionPtr revIDLastSave="0" documentId="13_ncr:1_{6B24CAC7-AEA2-9E49-91B2-963D143961DD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Assumptions" sheetId="1" r:id="rId1"/>
    <sheet name="Solo - Monthly Model" sheetId="2" r:id="rId2"/>
    <sheet name="Team - Monthly Model" sheetId="3" r:id="rId3"/>
    <sheet name="Annual Summary &amp; Mileston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2" l="1"/>
  <c r="AX21" i="3"/>
  <c r="Z21" i="3"/>
  <c r="BJ20" i="3"/>
  <c r="BJ22" i="3" s="1"/>
  <c r="BF20" i="3"/>
  <c r="AO20" i="3"/>
  <c r="H20" i="3"/>
  <c r="C10" i="3"/>
  <c r="BJ9" i="3"/>
  <c r="BG9" i="3"/>
  <c r="BF9" i="3"/>
  <c r="BB9" i="3"/>
  <c r="AQ9" i="3"/>
  <c r="AP9" i="3"/>
  <c r="AO9" i="3"/>
  <c r="AM9" i="3"/>
  <c r="AI9" i="3"/>
  <c r="AH9" i="3"/>
  <c r="AE9" i="3"/>
  <c r="AA9" i="3"/>
  <c r="W9" i="3"/>
  <c r="V9" i="3"/>
  <c r="R9" i="3"/>
  <c r="O9" i="3"/>
  <c r="I9" i="3"/>
  <c r="G9" i="3"/>
  <c r="E9" i="3"/>
  <c r="AU8" i="3"/>
  <c r="AM8" i="3"/>
  <c r="AE8" i="3"/>
  <c r="BJ6" i="3"/>
  <c r="BD6" i="3"/>
  <c r="BC6" i="3"/>
  <c r="BC8" i="3" s="1"/>
  <c r="BB6" i="3"/>
  <c r="AV6" i="3"/>
  <c r="AU6" i="3"/>
  <c r="AO6" i="3"/>
  <c r="AM6" i="3"/>
  <c r="AL6" i="3"/>
  <c r="AJ6" i="3"/>
  <c r="AE6" i="3"/>
  <c r="Y6" i="3"/>
  <c r="X6" i="3"/>
  <c r="W6" i="3"/>
  <c r="W8" i="3" s="1"/>
  <c r="V6" i="3"/>
  <c r="O6" i="3"/>
  <c r="M6" i="3"/>
  <c r="L6" i="3"/>
  <c r="G6" i="3"/>
  <c r="BJ5" i="3"/>
  <c r="BJ21" i="3" s="1"/>
  <c r="BI5" i="3"/>
  <c r="BH5" i="3"/>
  <c r="BG5" i="3"/>
  <c r="BF5" i="3"/>
  <c r="BE5" i="3"/>
  <c r="BE6" i="3" s="1"/>
  <c r="BD5" i="3"/>
  <c r="BC5" i="3"/>
  <c r="BC9" i="3" s="1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V20" i="3" s="1"/>
  <c r="U5" i="3"/>
  <c r="T5" i="3"/>
  <c r="S5" i="3"/>
  <c r="R5" i="3"/>
  <c r="Q5" i="3"/>
  <c r="P5" i="3"/>
  <c r="O5" i="3"/>
  <c r="O8" i="3" s="1"/>
  <c r="N5" i="3"/>
  <c r="M5" i="3"/>
  <c r="L5" i="3"/>
  <c r="K5" i="3"/>
  <c r="J5" i="3"/>
  <c r="I5" i="3"/>
  <c r="H5" i="3"/>
  <c r="G5" i="3"/>
  <c r="F5" i="3"/>
  <c r="E5" i="3"/>
  <c r="D5" i="3"/>
  <c r="C5" i="3"/>
  <c r="BE22" i="2"/>
  <c r="P22" i="2"/>
  <c r="BB21" i="2"/>
  <c r="AM21" i="2"/>
  <c r="AG21" i="2"/>
  <c r="Q21" i="2"/>
  <c r="M21" i="2"/>
  <c r="BE20" i="2"/>
  <c r="AD20" i="2"/>
  <c r="R20" i="2"/>
  <c r="P20" i="2"/>
  <c r="J20" i="2"/>
  <c r="C10" i="2"/>
  <c r="BI9" i="2"/>
  <c r="BF9" i="2"/>
  <c r="BE9" i="2"/>
  <c r="AZ9" i="2"/>
  <c r="AY9" i="2"/>
  <c r="AQ9" i="2"/>
  <c r="AP9" i="2"/>
  <c r="AH9" i="2"/>
  <c r="AG9" i="2"/>
  <c r="Z9" i="2"/>
  <c r="Y9" i="2"/>
  <c r="X9" i="2"/>
  <c r="R9" i="2"/>
  <c r="Q9" i="2"/>
  <c r="P9" i="2"/>
  <c r="O9" i="2"/>
  <c r="J9" i="2"/>
  <c r="I9" i="2"/>
  <c r="H9" i="2"/>
  <c r="G9" i="2"/>
  <c r="E9" i="2"/>
  <c r="BE8" i="2"/>
  <c r="AW8" i="2"/>
  <c r="AU8" i="2"/>
  <c r="BI6" i="2"/>
  <c r="BF6" i="2"/>
  <c r="BE6" i="2"/>
  <c r="BC6" i="2"/>
  <c r="BA6" i="2"/>
  <c r="AX6" i="2"/>
  <c r="AW6" i="2"/>
  <c r="AR6" i="2"/>
  <c r="AQ6" i="2"/>
  <c r="AI6" i="2"/>
  <c r="AH6" i="2"/>
  <c r="Z6" i="2"/>
  <c r="Y6" i="2"/>
  <c r="Y8" i="2" s="1"/>
  <c r="R6" i="2"/>
  <c r="Q6" i="2"/>
  <c r="P6" i="2"/>
  <c r="J6" i="2"/>
  <c r="I6" i="2"/>
  <c r="H6" i="2"/>
  <c r="G6" i="2"/>
  <c r="BJ5" i="2"/>
  <c r="BJ21" i="2" s="1"/>
  <c r="BI5" i="2"/>
  <c r="BI21" i="2" s="1"/>
  <c r="BH5" i="2"/>
  <c r="BG5" i="2"/>
  <c r="BF5" i="2"/>
  <c r="BE5" i="2"/>
  <c r="BE21" i="2" s="1"/>
  <c r="BD5" i="2"/>
  <c r="BD9" i="2" s="1"/>
  <c r="BC5" i="2"/>
  <c r="BC9" i="2" s="1"/>
  <c r="BB5" i="2"/>
  <c r="BA5" i="2"/>
  <c r="BA20" i="2" s="1"/>
  <c r="AZ5" i="2"/>
  <c r="AY5" i="2"/>
  <c r="AX5" i="2"/>
  <c r="AW5" i="2"/>
  <c r="AW20" i="2" s="1"/>
  <c r="AV5" i="2"/>
  <c r="AV6" i="2" s="1"/>
  <c r="AV8" i="2" s="1"/>
  <c r="AU5" i="2"/>
  <c r="AU6" i="2" s="1"/>
  <c r="AT5" i="2"/>
  <c r="AS5" i="2"/>
  <c r="AS9" i="2" s="1"/>
  <c r="AR5" i="2"/>
  <c r="AQ5" i="2"/>
  <c r="AP5" i="2"/>
  <c r="AP21" i="2" s="1"/>
  <c r="AO5" i="2"/>
  <c r="AO9" i="2" s="1"/>
  <c r="AN5" i="2"/>
  <c r="AN21" i="2" s="1"/>
  <c r="AM5" i="2"/>
  <c r="AM20" i="2" s="1"/>
  <c r="AL5" i="2"/>
  <c r="AL20" i="2" s="1"/>
  <c r="AK5" i="2"/>
  <c r="AK6" i="2" s="1"/>
  <c r="AJ5" i="2"/>
  <c r="AI5" i="2"/>
  <c r="AH5" i="2"/>
  <c r="AG5" i="2"/>
  <c r="AG20" i="2" s="1"/>
  <c r="AF5" i="2"/>
  <c r="AF20" i="2" s="1"/>
  <c r="AE5" i="2"/>
  <c r="AE20" i="2" s="1"/>
  <c r="AD5" i="2"/>
  <c r="AC5" i="2"/>
  <c r="AC20" i="2" s="1"/>
  <c r="AB5" i="2"/>
  <c r="AA5" i="2"/>
  <c r="Z5" i="2"/>
  <c r="Z20" i="2" s="1"/>
  <c r="Y5" i="2"/>
  <c r="X5" i="2"/>
  <c r="W5" i="2"/>
  <c r="W20" i="2" s="1"/>
  <c r="V5" i="2"/>
  <c r="U5" i="2"/>
  <c r="U20" i="2" s="1"/>
  <c r="T5" i="2"/>
  <c r="S5" i="2"/>
  <c r="R5" i="2"/>
  <c r="Q5" i="2"/>
  <c r="Q20" i="2" s="1"/>
  <c r="P5" i="2"/>
  <c r="P21" i="2" s="1"/>
  <c r="O5" i="2"/>
  <c r="N5" i="2"/>
  <c r="M5" i="2"/>
  <c r="M20" i="2" s="1"/>
  <c r="L5" i="2"/>
  <c r="K5" i="2"/>
  <c r="J5" i="2"/>
  <c r="J21" i="2" s="1"/>
  <c r="I5" i="2"/>
  <c r="I21" i="2" s="1"/>
  <c r="H5" i="2"/>
  <c r="H21" i="2" s="1"/>
  <c r="G5" i="2"/>
  <c r="G20" i="2" s="1"/>
  <c r="F5" i="2"/>
  <c r="E5" i="2"/>
  <c r="D5" i="2"/>
  <c r="C5" i="2"/>
  <c r="B10" i="1"/>
  <c r="B12" i="1" s="1"/>
  <c r="C21" i="2" l="1"/>
  <c r="C20" i="2"/>
  <c r="C22" i="2" s="1"/>
  <c r="C9" i="2"/>
  <c r="C6" i="2"/>
  <c r="S21" i="2"/>
  <c r="S8" i="2"/>
  <c r="S9" i="2"/>
  <c r="S20" i="2"/>
  <c r="S6" i="2"/>
  <c r="AI21" i="2"/>
  <c r="AI20" i="2"/>
  <c r="AI8" i="2"/>
  <c r="AI9" i="2"/>
  <c r="AY21" i="2"/>
  <c r="AY20" i="2"/>
  <c r="AY6" i="2"/>
  <c r="AY8" i="2"/>
  <c r="D21" i="2"/>
  <c r="D9" i="2"/>
  <c r="D20" i="2"/>
  <c r="D22" i="2" s="1"/>
  <c r="D6" i="2"/>
  <c r="D8" i="2"/>
  <c r="T21" i="2"/>
  <c r="T9" i="2"/>
  <c r="T20" i="2"/>
  <c r="T22" i="2" s="1"/>
  <c r="T6" i="2"/>
  <c r="AJ21" i="2"/>
  <c r="AJ6" i="2"/>
  <c r="AJ8" i="2" s="1"/>
  <c r="AJ9" i="2"/>
  <c r="AJ20" i="2"/>
  <c r="BH20" i="2"/>
  <c r="BH6" i="2"/>
  <c r="BH8" i="2" s="1"/>
  <c r="BH21" i="2"/>
  <c r="C8" i="2"/>
  <c r="K21" i="2"/>
  <c r="K20" i="2"/>
  <c r="K9" i="2"/>
  <c r="K6" i="2"/>
  <c r="K8" i="2" s="1"/>
  <c r="AA21" i="2"/>
  <c r="AA20" i="2"/>
  <c r="AA9" i="2"/>
  <c r="AA6" i="2"/>
  <c r="AA8" i="2" s="1"/>
  <c r="AQ21" i="2"/>
  <c r="AQ20" i="2"/>
  <c r="AQ22" i="2" s="1"/>
  <c r="AQ8" i="2"/>
  <c r="BG21" i="2"/>
  <c r="BG9" i="2"/>
  <c r="BG6" i="2"/>
  <c r="BG20" i="2"/>
  <c r="BG22" i="2" s="1"/>
  <c r="BG8" i="2"/>
  <c r="J22" i="2"/>
  <c r="L20" i="2"/>
  <c r="L21" i="2"/>
  <c r="L9" i="2"/>
  <c r="L6" i="2"/>
  <c r="AB21" i="2"/>
  <c r="AB8" i="2"/>
  <c r="AB20" i="2"/>
  <c r="AB22" i="2" s="1"/>
  <c r="AB9" i="2"/>
  <c r="AB6" i="2"/>
  <c r="AR20" i="2"/>
  <c r="AR22" i="2" s="1"/>
  <c r="AR8" i="2"/>
  <c r="AR21" i="2"/>
  <c r="AR9" i="2"/>
  <c r="AZ21" i="2"/>
  <c r="AZ8" i="2"/>
  <c r="AL22" i="2"/>
  <c r="AZ6" i="2"/>
  <c r="L8" i="2"/>
  <c r="BH9" i="2"/>
  <c r="T8" i="2"/>
  <c r="AZ20" i="2"/>
  <c r="AS6" i="2"/>
  <c r="BA9" i="2"/>
  <c r="U21" i="2"/>
  <c r="U22" i="2" s="1"/>
  <c r="AO21" i="2"/>
  <c r="E20" i="2"/>
  <c r="E21" i="2"/>
  <c r="M8" i="2"/>
  <c r="F20" i="2"/>
  <c r="F9" i="2"/>
  <c r="F21" i="2"/>
  <c r="N20" i="2"/>
  <c r="N9" i="2"/>
  <c r="N6" i="2"/>
  <c r="N21" i="2"/>
  <c r="V9" i="2"/>
  <c r="V6" i="2"/>
  <c r="V8" i="2" s="1"/>
  <c r="V20" i="2"/>
  <c r="V22" i="2" s="1"/>
  <c r="AD21" i="2"/>
  <c r="AD22" i="2" s="1"/>
  <c r="AD9" i="2"/>
  <c r="AD6" i="2"/>
  <c r="AD8" i="2" s="1"/>
  <c r="AL9" i="2"/>
  <c r="AL6" i="2"/>
  <c r="AL8" i="2" s="1"/>
  <c r="AL21" i="2"/>
  <c r="AT21" i="2"/>
  <c r="AT9" i="2"/>
  <c r="AT6" i="2"/>
  <c r="BB9" i="2"/>
  <c r="BB6" i="2"/>
  <c r="BB20" i="2"/>
  <c r="BB22" i="2" s="1"/>
  <c r="BJ9" i="2"/>
  <c r="BJ6" i="2"/>
  <c r="BD6" i="2"/>
  <c r="BD8" i="2" s="1"/>
  <c r="E8" i="2"/>
  <c r="N8" i="2"/>
  <c r="W8" i="2"/>
  <c r="AN20" i="2"/>
  <c r="AN22" i="2" s="1"/>
  <c r="BI20" i="2"/>
  <c r="BI22" i="2" s="1"/>
  <c r="V21" i="2"/>
  <c r="M22" i="2"/>
  <c r="AK21" i="2"/>
  <c r="AK20" i="2"/>
  <c r="O20" i="2"/>
  <c r="O21" i="2"/>
  <c r="AE22" i="2"/>
  <c r="AM22" i="2"/>
  <c r="AU20" i="2"/>
  <c r="AU22" i="2" s="1"/>
  <c r="AU21" i="2"/>
  <c r="BC20" i="2"/>
  <c r="BC22" i="2" s="1"/>
  <c r="BC21" i="2"/>
  <c r="AC6" i="2"/>
  <c r="AC8" i="2" s="1"/>
  <c r="AM6" i="2"/>
  <c r="AM8" i="2" s="1"/>
  <c r="O8" i="2"/>
  <c r="BI8" i="2"/>
  <c r="AK9" i="2"/>
  <c r="AU9" i="2"/>
  <c r="AO20" i="2"/>
  <c r="BJ20" i="2"/>
  <c r="BJ22" i="2" s="1"/>
  <c r="W21" i="2"/>
  <c r="W22" i="2" s="1"/>
  <c r="AS20" i="2"/>
  <c r="AS22" i="2" s="1"/>
  <c r="AS21" i="2"/>
  <c r="X20" i="2"/>
  <c r="X22" i="2" s="1"/>
  <c r="X21" i="2"/>
  <c r="AV20" i="2"/>
  <c r="AV22" i="2" s="1"/>
  <c r="AV21" i="2"/>
  <c r="AN6" i="2"/>
  <c r="AN8" i="2" s="1"/>
  <c r="G8" i="2"/>
  <c r="BJ8" i="2"/>
  <c r="AC9" i="2"/>
  <c r="AV9" i="2"/>
  <c r="AT20" i="2"/>
  <c r="G21" i="2"/>
  <c r="G22" i="2" s="1"/>
  <c r="AC21" i="2"/>
  <c r="AC22" i="2" s="1"/>
  <c r="AW21" i="2"/>
  <c r="AW22" i="2" s="1"/>
  <c r="BD20" i="2"/>
  <c r="BD21" i="2"/>
  <c r="U6" i="2"/>
  <c r="U8" i="2" s="1"/>
  <c r="AE6" i="2"/>
  <c r="AE8" i="2" s="1"/>
  <c r="P8" i="2"/>
  <c r="BA8" i="2"/>
  <c r="AM9" i="2"/>
  <c r="Q22" i="2"/>
  <c r="Y20" i="2"/>
  <c r="Y21" i="2"/>
  <c r="E6" i="2"/>
  <c r="W6" i="2"/>
  <c r="Q8" i="2"/>
  <c r="BB8" i="2"/>
  <c r="U9" i="2"/>
  <c r="AE9" i="2"/>
  <c r="AN9" i="2"/>
  <c r="AW9" i="2"/>
  <c r="H20" i="2"/>
  <c r="H22" i="2" s="1"/>
  <c r="AE21" i="2"/>
  <c r="D21" i="3"/>
  <c r="D20" i="3"/>
  <c r="D9" i="3"/>
  <c r="D8" i="3"/>
  <c r="D6" i="3"/>
  <c r="L8" i="3"/>
  <c r="L21" i="3"/>
  <c r="L20" i="3"/>
  <c r="L22" i="3" s="1"/>
  <c r="L9" i="3"/>
  <c r="T20" i="3"/>
  <c r="T8" i="3"/>
  <c r="T21" i="3"/>
  <c r="T9" i="3"/>
  <c r="T6" i="3"/>
  <c r="AB21" i="3"/>
  <c r="AB20" i="3"/>
  <c r="AB22" i="3" s="1"/>
  <c r="AB8" i="3"/>
  <c r="AB9" i="3"/>
  <c r="AB6" i="3"/>
  <c r="AJ21" i="3"/>
  <c r="AJ20" i="3"/>
  <c r="AJ8" i="3"/>
  <c r="AJ9" i="3"/>
  <c r="AR21" i="3"/>
  <c r="AR20" i="3"/>
  <c r="AR22" i="3" s="1"/>
  <c r="AR9" i="3"/>
  <c r="AR6" i="3"/>
  <c r="AR8" i="3" s="1"/>
  <c r="AZ21" i="3"/>
  <c r="AZ20" i="3"/>
  <c r="AZ22" i="3" s="1"/>
  <c r="AZ9" i="3"/>
  <c r="AZ6" i="3"/>
  <c r="AZ8" i="3" s="1"/>
  <c r="BH21" i="3"/>
  <c r="BH20" i="3"/>
  <c r="BH22" i="3" s="1"/>
  <c r="BH8" i="3"/>
  <c r="BH6" i="3"/>
  <c r="BH9" i="3"/>
  <c r="AG22" i="2"/>
  <c r="M6" i="2"/>
  <c r="AF6" i="2"/>
  <c r="AF8" i="2" s="1"/>
  <c r="AO6" i="2"/>
  <c r="AO8" i="2" s="1"/>
  <c r="H8" i="2"/>
  <c r="AS8" i="2"/>
  <c r="J8" i="2"/>
  <c r="R21" i="2"/>
  <c r="R22" i="2" s="1"/>
  <c r="R8" i="2"/>
  <c r="Z8" i="2"/>
  <c r="Z21" i="2"/>
  <c r="Z22" i="2" s="1"/>
  <c r="AH8" i="2"/>
  <c r="AH20" i="2"/>
  <c r="AH22" i="2" s="1"/>
  <c r="AH21" i="2"/>
  <c r="AP20" i="2"/>
  <c r="AP22" i="2" s="1"/>
  <c r="AP8" i="2"/>
  <c r="AX21" i="2"/>
  <c r="AX8" i="2"/>
  <c r="BF20" i="2"/>
  <c r="BF22" i="2" s="1"/>
  <c r="BF8" i="2"/>
  <c r="BF21" i="2"/>
  <c r="F6" i="2"/>
  <c r="F8" i="2" s="1"/>
  <c r="O6" i="2"/>
  <c r="X6" i="2"/>
  <c r="X8" i="2" s="1"/>
  <c r="AG6" i="2"/>
  <c r="AG8" i="2" s="1"/>
  <c r="AP6" i="2"/>
  <c r="I8" i="2"/>
  <c r="AK8" i="2"/>
  <c r="AT8" i="2"/>
  <c r="BC8" i="2"/>
  <c r="M9" i="2"/>
  <c r="W9" i="2"/>
  <c r="AF9" i="2"/>
  <c r="AX9" i="2"/>
  <c r="I20" i="2"/>
  <c r="I22" i="2" s="1"/>
  <c r="AX20" i="2"/>
  <c r="AX22" i="2" s="1"/>
  <c r="AF21" i="2"/>
  <c r="AF22" i="2" s="1"/>
  <c r="BA21" i="2"/>
  <c r="BA22" i="2" s="1"/>
  <c r="E21" i="3"/>
  <c r="E20" i="3"/>
  <c r="E6" i="3"/>
  <c r="E8" i="3" s="1"/>
  <c r="M21" i="3"/>
  <c r="M20" i="3"/>
  <c r="M8" i="3"/>
  <c r="M9" i="3"/>
  <c r="U21" i="3"/>
  <c r="U9" i="3"/>
  <c r="U6" i="3"/>
  <c r="U20" i="3"/>
  <c r="AC20" i="3"/>
  <c r="AC9" i="3"/>
  <c r="AC21" i="3"/>
  <c r="AC6" i="3"/>
  <c r="AC8" i="3" s="1"/>
  <c r="AK20" i="3"/>
  <c r="AK22" i="3" s="1"/>
  <c r="AK9" i="3"/>
  <c r="AK21" i="3"/>
  <c r="AK6" i="3"/>
  <c r="AK8" i="3" s="1"/>
  <c r="AS20" i="3"/>
  <c r="AS21" i="3"/>
  <c r="AS6" i="3"/>
  <c r="AS8" i="3"/>
  <c r="AS9" i="3"/>
  <c r="BA20" i="3"/>
  <c r="BA21" i="3"/>
  <c r="BA9" i="3"/>
  <c r="BA6" i="3"/>
  <c r="BA8" i="3" s="1"/>
  <c r="BI20" i="3"/>
  <c r="BI21" i="3"/>
  <c r="BI8" i="3"/>
  <c r="BI9" i="3"/>
  <c r="BI6" i="3"/>
  <c r="U8" i="3"/>
  <c r="F8" i="3"/>
  <c r="F21" i="3"/>
  <c r="F9" i="3"/>
  <c r="N21" i="3"/>
  <c r="N20" i="3"/>
  <c r="N9" i="3"/>
  <c r="AD20" i="3"/>
  <c r="AD22" i="3" s="1"/>
  <c r="AD21" i="3"/>
  <c r="AD6" i="3"/>
  <c r="AD8" i="3" s="1"/>
  <c r="AL21" i="3"/>
  <c r="AL20" i="3"/>
  <c r="AL9" i="3"/>
  <c r="AL8" i="3"/>
  <c r="AT21" i="3"/>
  <c r="AT9" i="3"/>
  <c r="AT20" i="3"/>
  <c r="AT22" i="3" s="1"/>
  <c r="BB20" i="3"/>
  <c r="BB21" i="3"/>
  <c r="N6" i="3"/>
  <c r="N8" i="3"/>
  <c r="BB8" i="3"/>
  <c r="AD9" i="3"/>
  <c r="BF22" i="3"/>
  <c r="H21" i="3"/>
  <c r="H22" i="3" s="1"/>
  <c r="H9" i="3"/>
  <c r="H6" i="3"/>
  <c r="H8" i="3" s="1"/>
  <c r="P21" i="3"/>
  <c r="P9" i="3"/>
  <c r="P20" i="3"/>
  <c r="P22" i="3" s="1"/>
  <c r="X21" i="3"/>
  <c r="X9" i="3"/>
  <c r="X8" i="3"/>
  <c r="X20" i="3"/>
  <c r="AF21" i="3"/>
  <c r="AF9" i="3"/>
  <c r="AF20" i="3"/>
  <c r="AF22" i="3" s="1"/>
  <c r="AN21" i="3"/>
  <c r="AN9" i="3"/>
  <c r="AN20" i="3"/>
  <c r="AN22" i="3" s="1"/>
  <c r="AN6" i="3"/>
  <c r="AN8" i="3" s="1"/>
  <c r="AV21" i="3"/>
  <c r="AV9" i="3"/>
  <c r="AV20" i="3"/>
  <c r="AV22" i="3" s="1"/>
  <c r="AV8" i="3"/>
  <c r="BD21" i="3"/>
  <c r="BD9" i="3"/>
  <c r="BD20" i="3"/>
  <c r="BD22" i="3" s="1"/>
  <c r="P6" i="3"/>
  <c r="P8" i="3" s="1"/>
  <c r="AF6" i="3"/>
  <c r="AF8" i="3" s="1"/>
  <c r="AT6" i="3"/>
  <c r="AT8" i="3" s="1"/>
  <c r="BD8" i="3"/>
  <c r="I21" i="3"/>
  <c r="I20" i="3"/>
  <c r="I22" i="3" s="1"/>
  <c r="Q21" i="3"/>
  <c r="Q20" i="3"/>
  <c r="Q22" i="3" s="1"/>
  <c r="Q6" i="3"/>
  <c r="Q8" i="3" s="1"/>
  <c r="Y21" i="3"/>
  <c r="Y8" i="3"/>
  <c r="Y20" i="3"/>
  <c r="Y22" i="3" s="1"/>
  <c r="Y9" i="3"/>
  <c r="AG21" i="3"/>
  <c r="AG20" i="3"/>
  <c r="AG8" i="3"/>
  <c r="AO21" i="3"/>
  <c r="AO22" i="3" s="1"/>
  <c r="AO8" i="3"/>
  <c r="AW21" i="3"/>
  <c r="AW20" i="3"/>
  <c r="AW22" i="3" s="1"/>
  <c r="AW6" i="3"/>
  <c r="AW8" i="3" s="1"/>
  <c r="BE21" i="3"/>
  <c r="BE20" i="3"/>
  <c r="BE22" i="3" s="1"/>
  <c r="BE9" i="3"/>
  <c r="F6" i="3"/>
  <c r="AG6" i="3"/>
  <c r="BE8" i="3"/>
  <c r="Q9" i="3"/>
  <c r="AG9" i="3"/>
  <c r="V21" i="3"/>
  <c r="V22" i="3" s="1"/>
  <c r="AW9" i="3"/>
  <c r="I6" i="3"/>
  <c r="I8" i="3" s="1"/>
  <c r="V8" i="3"/>
  <c r="F20" i="3"/>
  <c r="F22" i="3" s="1"/>
  <c r="J20" i="3"/>
  <c r="J22" i="3" s="1"/>
  <c r="J9" i="3"/>
  <c r="J6" i="3"/>
  <c r="J8" i="3" s="1"/>
  <c r="J21" i="3"/>
  <c r="R20" i="3"/>
  <c r="R21" i="3"/>
  <c r="R6" i="3"/>
  <c r="R8" i="3" s="1"/>
  <c r="Z6" i="3"/>
  <c r="Z8" i="3" s="1"/>
  <c r="Z20" i="3"/>
  <c r="Z22" i="3" s="1"/>
  <c r="AH8" i="3"/>
  <c r="AH20" i="3"/>
  <c r="AH22" i="3" s="1"/>
  <c r="AH6" i="3"/>
  <c r="AH21" i="3"/>
  <c r="AP21" i="3"/>
  <c r="AP6" i="3"/>
  <c r="AP8" i="3" s="1"/>
  <c r="AP20" i="3"/>
  <c r="AX6" i="3"/>
  <c r="AX8" i="3" s="1"/>
  <c r="AX20" i="3"/>
  <c r="AX22" i="3" s="1"/>
  <c r="BF6" i="3"/>
  <c r="BF8" i="3" s="1"/>
  <c r="BF21" i="3"/>
  <c r="AX9" i="3"/>
  <c r="C21" i="3"/>
  <c r="C6" i="3"/>
  <c r="C8" i="3" s="1"/>
  <c r="C20" i="3"/>
  <c r="C22" i="3" s="1"/>
  <c r="K21" i="3"/>
  <c r="K9" i="3"/>
  <c r="K6" i="3"/>
  <c r="K8" i="3" s="1"/>
  <c r="K20" i="3"/>
  <c r="S21" i="3"/>
  <c r="S20" i="3"/>
  <c r="S6" i="3"/>
  <c r="S8" i="3" s="1"/>
  <c r="S9" i="3"/>
  <c r="AA21" i="3"/>
  <c r="AA20" i="3"/>
  <c r="AA6" i="3"/>
  <c r="AA8" i="3" s="1"/>
  <c r="AI21" i="3"/>
  <c r="AI20" i="3"/>
  <c r="AI22" i="3" s="1"/>
  <c r="AI6" i="3"/>
  <c r="AI8" i="3" s="1"/>
  <c r="AQ21" i="3"/>
  <c r="AQ20" i="3"/>
  <c r="AQ8" i="3"/>
  <c r="AQ6" i="3"/>
  <c r="AY21" i="3"/>
  <c r="AY20" i="3"/>
  <c r="AY22" i="3" s="1"/>
  <c r="AY6" i="3"/>
  <c r="AY8" i="3" s="1"/>
  <c r="L7" i="4" s="1"/>
  <c r="BG21" i="3"/>
  <c r="BG20" i="3"/>
  <c r="BG6" i="3"/>
  <c r="BG8" i="3" s="1"/>
  <c r="C9" i="3"/>
  <c r="Z9" i="3"/>
  <c r="AY9" i="3"/>
  <c r="G20" i="3"/>
  <c r="G22" i="3" s="1"/>
  <c r="G21" i="3"/>
  <c r="O20" i="3"/>
  <c r="O22" i="3" s="1"/>
  <c r="O21" i="3"/>
  <c r="W20" i="3"/>
  <c r="W21" i="3"/>
  <c r="AE20" i="3"/>
  <c r="AE22" i="3" s="1"/>
  <c r="AE21" i="3"/>
  <c r="AM20" i="3"/>
  <c r="AM22" i="3" s="1"/>
  <c r="AM21" i="3"/>
  <c r="AU20" i="3"/>
  <c r="AU22" i="3" s="1"/>
  <c r="AU21" i="3"/>
  <c r="BC20" i="3"/>
  <c r="BC21" i="3"/>
  <c r="G8" i="3"/>
  <c r="BJ8" i="3"/>
  <c r="AU9" i="3"/>
  <c r="D7" i="4" l="1"/>
  <c r="K7" i="4"/>
  <c r="I7" i="4"/>
  <c r="AA22" i="3"/>
  <c r="AL22" i="3"/>
  <c r="N22" i="3"/>
  <c r="E22" i="3"/>
  <c r="H13" i="4" s="1"/>
  <c r="N22" i="2"/>
  <c r="AJ22" i="3"/>
  <c r="Y22" i="2"/>
  <c r="BD22" i="2"/>
  <c r="BG22" i="3"/>
  <c r="AQ22" i="3"/>
  <c r="AP22" i="3"/>
  <c r="K13" i="4" s="1"/>
  <c r="AG22" i="3"/>
  <c r="BB22" i="3"/>
  <c r="BI22" i="3"/>
  <c r="B7" i="4"/>
  <c r="C11" i="2"/>
  <c r="H7" i="4"/>
  <c r="C11" i="3"/>
  <c r="C7" i="4"/>
  <c r="F22" i="2"/>
  <c r="AA22" i="2"/>
  <c r="AI22" i="2"/>
  <c r="S22" i="3"/>
  <c r="AS22" i="3"/>
  <c r="M22" i="3"/>
  <c r="T22" i="3"/>
  <c r="I13" i="4" s="1"/>
  <c r="D22" i="3"/>
  <c r="F7" i="4"/>
  <c r="AC22" i="3"/>
  <c r="E7" i="4"/>
  <c r="K22" i="3"/>
  <c r="R22" i="3"/>
  <c r="U22" i="3"/>
  <c r="AT22" i="2"/>
  <c r="O22" i="2"/>
  <c r="E22" i="2"/>
  <c r="B13" i="4" s="1"/>
  <c r="L22" i="2"/>
  <c r="BH22" i="2"/>
  <c r="S22" i="2"/>
  <c r="BC22" i="3"/>
  <c r="W22" i="3"/>
  <c r="J7" i="4"/>
  <c r="X22" i="3"/>
  <c r="BA22" i="3"/>
  <c r="L13" i="4" s="1"/>
  <c r="AO22" i="2"/>
  <c r="E13" i="4" s="1"/>
  <c r="AK22" i="2"/>
  <c r="AZ22" i="2"/>
  <c r="K22" i="2"/>
  <c r="AJ22" i="2"/>
  <c r="AY22" i="2"/>
  <c r="F13" i="4" s="1"/>
  <c r="C16" i="3" l="1"/>
  <c r="D10" i="3"/>
  <c r="C13" i="3"/>
  <c r="D11" i="3"/>
  <c r="C13" i="4"/>
  <c r="C16" i="2"/>
  <c r="C13" i="2"/>
  <c r="D10" i="2"/>
  <c r="J13" i="4"/>
  <c r="D13" i="4"/>
  <c r="D13" i="3" l="1"/>
  <c r="E10" i="3"/>
  <c r="E11" i="3"/>
  <c r="D16" i="3"/>
  <c r="C17" i="3"/>
  <c r="C14" i="3"/>
  <c r="D11" i="2"/>
  <c r="C17" i="2"/>
  <c r="C14" i="2"/>
  <c r="D16" i="2" l="1"/>
  <c r="E10" i="2"/>
  <c r="D13" i="2"/>
  <c r="F10" i="3"/>
  <c r="F11" i="3"/>
  <c r="E16" i="3"/>
  <c r="E13" i="3"/>
  <c r="C24" i="3"/>
  <c r="C18" i="3"/>
  <c r="C24" i="2"/>
  <c r="C18" i="2"/>
  <c r="D17" i="3"/>
  <c r="D14" i="3"/>
  <c r="F16" i="3" l="1"/>
  <c r="G10" i="3"/>
  <c r="G11" i="3" s="1"/>
  <c r="F13" i="3"/>
  <c r="D24" i="3"/>
  <c r="D27" i="3" s="1"/>
  <c r="D18" i="3"/>
  <c r="C27" i="2"/>
  <c r="B24" i="4" s="1"/>
  <c r="C25" i="2"/>
  <c r="D14" i="2"/>
  <c r="D17" i="2"/>
  <c r="C27" i="3"/>
  <c r="C24" i="4" s="1"/>
  <c r="C25" i="3"/>
  <c r="E11" i="2"/>
  <c r="E14" i="3"/>
  <c r="E17" i="3"/>
  <c r="G16" i="3" l="1"/>
  <c r="G13" i="3"/>
  <c r="H10" i="3"/>
  <c r="H11" i="3" s="1"/>
  <c r="E13" i="2"/>
  <c r="F10" i="2"/>
  <c r="F11" i="2" s="1"/>
  <c r="E16" i="2"/>
  <c r="D25" i="3"/>
  <c r="D24" i="2"/>
  <c r="D18" i="2"/>
  <c r="F14" i="3"/>
  <c r="F17" i="3"/>
  <c r="E24" i="3"/>
  <c r="E27" i="3" s="1"/>
  <c r="E18" i="3"/>
  <c r="D25" i="2"/>
  <c r="G10" i="2" l="1"/>
  <c r="G11" i="2" s="1"/>
  <c r="F13" i="2"/>
  <c r="F16" i="2"/>
  <c r="I11" i="3"/>
  <c r="H13" i="3"/>
  <c r="H16" i="3"/>
  <c r="I10" i="3"/>
  <c r="D27" i="2"/>
  <c r="E25" i="3"/>
  <c r="F24" i="3"/>
  <c r="F27" i="3" s="1"/>
  <c r="F18" i="3"/>
  <c r="E17" i="2"/>
  <c r="E14" i="2"/>
  <c r="G17" i="3"/>
  <c r="G14" i="3"/>
  <c r="H10" i="2" l="1"/>
  <c r="G13" i="2"/>
  <c r="G16" i="2"/>
  <c r="H11" i="2"/>
  <c r="G24" i="3"/>
  <c r="G27" i="3" s="1"/>
  <c r="G18" i="3"/>
  <c r="H14" i="3"/>
  <c r="H17" i="3"/>
  <c r="F25" i="3"/>
  <c r="E18" i="2"/>
  <c r="E24" i="2"/>
  <c r="J11" i="3"/>
  <c r="I13" i="3"/>
  <c r="I16" i="3"/>
  <c r="J10" i="3"/>
  <c r="F17" i="2"/>
  <c r="F14" i="2"/>
  <c r="J13" i="3" l="1"/>
  <c r="J16" i="3"/>
  <c r="K10" i="3"/>
  <c r="K11" i="3"/>
  <c r="E27" i="2"/>
  <c r="E25" i="2"/>
  <c r="F24" i="2"/>
  <c r="F27" i="2" s="1"/>
  <c r="F18" i="2"/>
  <c r="G25" i="3"/>
  <c r="H13" i="2"/>
  <c r="H16" i="2"/>
  <c r="I10" i="2"/>
  <c r="I11" i="2" s="1"/>
  <c r="G17" i="2"/>
  <c r="G14" i="2"/>
  <c r="I17" i="3"/>
  <c r="I14" i="3"/>
  <c r="H24" i="3"/>
  <c r="H18" i="3"/>
  <c r="J10" i="2" l="1"/>
  <c r="J11" i="2" s="1"/>
  <c r="I13" i="2"/>
  <c r="I16" i="2"/>
  <c r="H27" i="3"/>
  <c r="F25" i="2"/>
  <c r="G24" i="2"/>
  <c r="G27" i="2" s="1"/>
  <c r="G18" i="2"/>
  <c r="K16" i="3"/>
  <c r="L10" i="3"/>
  <c r="K13" i="3"/>
  <c r="L11" i="3"/>
  <c r="H14" i="2"/>
  <c r="H17" i="2"/>
  <c r="H25" i="3"/>
  <c r="I24" i="3"/>
  <c r="I27" i="3" s="1"/>
  <c r="I18" i="3"/>
  <c r="J17" i="3"/>
  <c r="J14" i="3"/>
  <c r="J16" i="2" l="1"/>
  <c r="K10" i="2"/>
  <c r="K11" i="2" s="1"/>
  <c r="J13" i="2"/>
  <c r="J24" i="3"/>
  <c r="J27" i="3" s="1"/>
  <c r="J18" i="3"/>
  <c r="L13" i="3"/>
  <c r="L16" i="3"/>
  <c r="M10" i="3"/>
  <c r="M11" i="3"/>
  <c r="K17" i="3"/>
  <c r="K14" i="3"/>
  <c r="I14" i="2"/>
  <c r="I17" i="2"/>
  <c r="I25" i="3"/>
  <c r="H24" i="2"/>
  <c r="H27" i="2" s="1"/>
  <c r="H18" i="2"/>
  <c r="K16" i="2" l="1"/>
  <c r="K13" i="2"/>
  <c r="L10" i="2"/>
  <c r="L11" i="2" s="1"/>
  <c r="I24" i="2"/>
  <c r="I27" i="2" s="1"/>
  <c r="I18" i="2"/>
  <c r="L17" i="3"/>
  <c r="L14" i="3"/>
  <c r="K24" i="3"/>
  <c r="K27" i="3" s="1"/>
  <c r="K18" i="3"/>
  <c r="J14" i="2"/>
  <c r="J17" i="2"/>
  <c r="H25" i="2"/>
  <c r="I25" i="2" s="1"/>
  <c r="M16" i="3"/>
  <c r="M13" i="3"/>
  <c r="N10" i="3"/>
  <c r="H8" i="4" s="1"/>
  <c r="N11" i="3"/>
  <c r="J25" i="3"/>
  <c r="K25" i="3" s="1"/>
  <c r="L13" i="2" l="1"/>
  <c r="L16" i="2"/>
  <c r="M10" i="2"/>
  <c r="M11" i="2" s="1"/>
  <c r="L24" i="3"/>
  <c r="L27" i="3" s="1"/>
  <c r="L18" i="3"/>
  <c r="J25" i="2"/>
  <c r="J18" i="2"/>
  <c r="J24" i="2"/>
  <c r="J27" i="2" s="1"/>
  <c r="K17" i="2"/>
  <c r="K14" i="2"/>
  <c r="M17" i="3"/>
  <c r="M14" i="3"/>
  <c r="L25" i="3"/>
  <c r="H6" i="4"/>
  <c r="H16" i="4"/>
  <c r="N16" i="3"/>
  <c r="N13" i="3"/>
  <c r="O10" i="3"/>
  <c r="M16" i="2" l="1"/>
  <c r="N10" i="2"/>
  <c r="B8" i="4" s="1"/>
  <c r="M13" i="2"/>
  <c r="M24" i="3"/>
  <c r="M27" i="3" s="1"/>
  <c r="M18" i="3"/>
  <c r="K24" i="2"/>
  <c r="K27" i="2" s="1"/>
  <c r="K18" i="2"/>
  <c r="H9" i="4"/>
  <c r="N17" i="3"/>
  <c r="N14" i="3"/>
  <c r="H10" i="4" s="1"/>
  <c r="H11" i="4"/>
  <c r="O11" i="3"/>
  <c r="L17" i="2"/>
  <c r="L14" i="2"/>
  <c r="O16" i="3" l="1"/>
  <c r="O13" i="3"/>
  <c r="P10" i="3"/>
  <c r="N18" i="3"/>
  <c r="N24" i="3"/>
  <c r="H12" i="4"/>
  <c r="M17" i="2"/>
  <c r="M14" i="2"/>
  <c r="M25" i="3"/>
  <c r="K25" i="2"/>
  <c r="N11" i="2"/>
  <c r="L24" i="2"/>
  <c r="L27" i="2" s="1"/>
  <c r="L18" i="2"/>
  <c r="O17" i="3" l="1"/>
  <c r="O14" i="3"/>
  <c r="M24" i="2"/>
  <c r="M27" i="2" s="1"/>
  <c r="M18" i="2"/>
  <c r="N27" i="3"/>
  <c r="H14" i="4"/>
  <c r="B16" i="4"/>
  <c r="B6" i="4"/>
  <c r="N13" i="2"/>
  <c r="O10" i="2"/>
  <c r="N16" i="2"/>
  <c r="L25" i="2"/>
  <c r="M25" i="2" s="1"/>
  <c r="N25" i="3"/>
  <c r="P11" i="3"/>
  <c r="H15" i="4" l="1"/>
  <c r="B9" i="4"/>
  <c r="N17" i="2"/>
  <c r="N14" i="2"/>
  <c r="B10" i="4" s="1"/>
  <c r="B11" i="4"/>
  <c r="O11" i="2"/>
  <c r="O24" i="3"/>
  <c r="O18" i="3"/>
  <c r="P16" i="3"/>
  <c r="P13" i="3"/>
  <c r="Q10" i="3"/>
  <c r="P14" i="3" l="1"/>
  <c r="P17" i="3"/>
  <c r="Q11" i="3"/>
  <c r="N24" i="2"/>
  <c r="N18" i="2"/>
  <c r="B12" i="4"/>
  <c r="O27" i="3"/>
  <c r="P10" i="2"/>
  <c r="O16" i="2"/>
  <c r="O13" i="2"/>
  <c r="O25" i="3"/>
  <c r="N27" i="2" l="1"/>
  <c r="B14" i="4"/>
  <c r="N25" i="2"/>
  <c r="Q16" i="3"/>
  <c r="Q13" i="3"/>
  <c r="R10" i="3"/>
  <c r="R11" i="3" s="1"/>
  <c r="P24" i="3"/>
  <c r="P18" i="3"/>
  <c r="P25" i="3"/>
  <c r="O17" i="2"/>
  <c r="O14" i="2"/>
  <c r="P11" i="2"/>
  <c r="R13" i="3" l="1"/>
  <c r="S10" i="3"/>
  <c r="S11" i="3" s="1"/>
  <c r="R16" i="3"/>
  <c r="P27" i="3"/>
  <c r="Q10" i="2"/>
  <c r="P13" i="2"/>
  <c r="P16" i="2"/>
  <c r="Q14" i="3"/>
  <c r="Q17" i="3"/>
  <c r="O24" i="2"/>
  <c r="O18" i="2"/>
  <c r="B15" i="4"/>
  <c r="S16" i="3" l="1"/>
  <c r="T10" i="3"/>
  <c r="S13" i="3"/>
  <c r="T11" i="3"/>
  <c r="O27" i="2"/>
  <c r="Q11" i="2"/>
  <c r="Q24" i="3"/>
  <c r="Q18" i="3"/>
  <c r="O25" i="2"/>
  <c r="R14" i="3"/>
  <c r="R17" i="3"/>
  <c r="P17" i="2"/>
  <c r="P14" i="2"/>
  <c r="R10" i="2" l="1"/>
  <c r="Q13" i="2"/>
  <c r="Q16" i="2"/>
  <c r="R11" i="2"/>
  <c r="P25" i="2"/>
  <c r="T13" i="3"/>
  <c r="U10" i="3"/>
  <c r="U11" i="3" s="1"/>
  <c r="T16" i="3"/>
  <c r="P24" i="2"/>
  <c r="P18" i="2"/>
  <c r="R24" i="3"/>
  <c r="R27" i="3" s="1"/>
  <c r="R18" i="3"/>
  <c r="S17" i="3"/>
  <c r="S14" i="3"/>
  <c r="Q27" i="3"/>
  <c r="Q25" i="3"/>
  <c r="V10" i="3" l="1"/>
  <c r="U13" i="3"/>
  <c r="U16" i="3"/>
  <c r="V11" i="3"/>
  <c r="S24" i="3"/>
  <c r="S18" i="3"/>
  <c r="R25" i="3"/>
  <c r="S25" i="3" s="1"/>
  <c r="T17" i="3"/>
  <c r="T14" i="3"/>
  <c r="R13" i="2"/>
  <c r="R16" i="2"/>
  <c r="S10" i="2"/>
  <c r="S11" i="2" s="1"/>
  <c r="P27" i="2"/>
  <c r="Q17" i="2"/>
  <c r="Q14" i="2"/>
  <c r="S16" i="2" l="1"/>
  <c r="S13" i="2"/>
  <c r="T10" i="2"/>
  <c r="T11" i="2"/>
  <c r="T25" i="3"/>
  <c r="R14" i="2"/>
  <c r="R17" i="2"/>
  <c r="W11" i="3"/>
  <c r="W10" i="3"/>
  <c r="V13" i="3"/>
  <c r="V16" i="3"/>
  <c r="T24" i="3"/>
  <c r="T27" i="3" s="1"/>
  <c r="T18" i="3"/>
  <c r="S27" i="3"/>
  <c r="Q24" i="2"/>
  <c r="Q18" i="2"/>
  <c r="U17" i="3"/>
  <c r="U14" i="3"/>
  <c r="X10" i="3" l="1"/>
  <c r="X11" i="3" s="1"/>
  <c r="W13" i="3"/>
  <c r="W16" i="3"/>
  <c r="R18" i="2"/>
  <c r="R24" i="2"/>
  <c r="R27" i="2" s="1"/>
  <c r="U25" i="3"/>
  <c r="T16" i="2"/>
  <c r="T13" i="2"/>
  <c r="U10" i="2"/>
  <c r="U11" i="2" s="1"/>
  <c r="S17" i="2"/>
  <c r="S14" i="2"/>
  <c r="Q27" i="2"/>
  <c r="Q25" i="2"/>
  <c r="U24" i="3"/>
  <c r="U18" i="3"/>
  <c r="V17" i="3"/>
  <c r="V14" i="3"/>
  <c r="U13" i="2" l="1"/>
  <c r="U16" i="2"/>
  <c r="V10" i="2"/>
  <c r="V11" i="2" s="1"/>
  <c r="X16" i="3"/>
  <c r="X13" i="3"/>
  <c r="Y10" i="3"/>
  <c r="Y11" i="3" s="1"/>
  <c r="S24" i="2"/>
  <c r="S27" i="2" s="1"/>
  <c r="S18" i="2"/>
  <c r="W17" i="3"/>
  <c r="W14" i="3"/>
  <c r="V24" i="3"/>
  <c r="V27" i="3" s="1"/>
  <c r="V18" i="3"/>
  <c r="U27" i="3"/>
  <c r="R25" i="2"/>
  <c r="S25" i="2" s="1"/>
  <c r="T14" i="2"/>
  <c r="T17" i="2"/>
  <c r="Y16" i="3" l="1"/>
  <c r="Z10" i="3"/>
  <c r="I8" i="4" s="1"/>
  <c r="Y13" i="3"/>
  <c r="V16" i="2"/>
  <c r="V13" i="2"/>
  <c r="W10" i="2"/>
  <c r="W11" i="2" s="1"/>
  <c r="V25" i="3"/>
  <c r="X14" i="3"/>
  <c r="X17" i="3"/>
  <c r="T18" i="2"/>
  <c r="T24" i="2"/>
  <c r="W24" i="3"/>
  <c r="W27" i="3" s="1"/>
  <c r="W18" i="3"/>
  <c r="U17" i="2"/>
  <c r="U14" i="2"/>
  <c r="W13" i="2" l="1"/>
  <c r="W16" i="2"/>
  <c r="X10" i="2"/>
  <c r="X11" i="2" s="1"/>
  <c r="T27" i="2"/>
  <c r="T25" i="2"/>
  <c r="U25" i="2" s="1"/>
  <c r="X24" i="3"/>
  <c r="X27" i="3" s="1"/>
  <c r="X18" i="3"/>
  <c r="V14" i="2"/>
  <c r="V17" i="2"/>
  <c r="Y17" i="3"/>
  <c r="Y14" i="3"/>
  <c r="Z11" i="3"/>
  <c r="U24" i="2"/>
  <c r="U27" i="2" s="1"/>
  <c r="U18" i="2"/>
  <c r="W25" i="3"/>
  <c r="X16" i="2" l="1"/>
  <c r="Y10" i="2"/>
  <c r="Y11" i="2"/>
  <c r="X13" i="2"/>
  <c r="I16" i="4"/>
  <c r="I6" i="4"/>
  <c r="Z16" i="3"/>
  <c r="AA11" i="3"/>
  <c r="AA10" i="3"/>
  <c r="Z13" i="3"/>
  <c r="Y24" i="3"/>
  <c r="Y27" i="3" s="1"/>
  <c r="Y18" i="3"/>
  <c r="V24" i="2"/>
  <c r="V27" i="2" s="1"/>
  <c r="V18" i="2"/>
  <c r="X25" i="3"/>
  <c r="Y25" i="3" s="1"/>
  <c r="W17" i="2"/>
  <c r="W14" i="2"/>
  <c r="V25" i="2" l="1"/>
  <c r="W25" i="2" s="1"/>
  <c r="I9" i="4"/>
  <c r="Z17" i="3"/>
  <c r="Z14" i="3"/>
  <c r="I10" i="4" s="1"/>
  <c r="I11" i="4"/>
  <c r="AA16" i="3"/>
  <c r="AB10" i="3"/>
  <c r="AA13" i="3"/>
  <c r="X17" i="2"/>
  <c r="X14" i="2"/>
  <c r="Z10" i="2"/>
  <c r="C8" i="4" s="1"/>
  <c r="Z11" i="2"/>
  <c r="Y16" i="2"/>
  <c r="Y13" i="2"/>
  <c r="W24" i="2"/>
  <c r="W27" i="2" s="1"/>
  <c r="W18" i="2"/>
  <c r="Y17" i="2" l="1"/>
  <c r="Y14" i="2"/>
  <c r="C16" i="4"/>
  <c r="C6" i="4"/>
  <c r="AA10" i="2"/>
  <c r="Z16" i="2"/>
  <c r="Z13" i="2"/>
  <c r="X24" i="2"/>
  <c r="X27" i="2" s="1"/>
  <c r="X18" i="2"/>
  <c r="AB11" i="3"/>
  <c r="Z24" i="3"/>
  <c r="Z18" i="3"/>
  <c r="I12" i="4"/>
  <c r="X25" i="2"/>
  <c r="AA17" i="3"/>
  <c r="AA14" i="3"/>
  <c r="Z27" i="3" l="1"/>
  <c r="I14" i="4"/>
  <c r="Z25" i="3"/>
  <c r="AB13" i="3"/>
  <c r="AB16" i="3"/>
  <c r="AC11" i="3"/>
  <c r="AC10" i="3"/>
  <c r="Y18" i="2"/>
  <c r="Y24" i="2"/>
  <c r="Y27" i="2" s="1"/>
  <c r="AA11" i="2"/>
  <c r="AA24" i="3"/>
  <c r="AA18" i="3"/>
  <c r="C9" i="4"/>
  <c r="Z17" i="2"/>
  <c r="Z14" i="2"/>
  <c r="C10" i="4" s="1"/>
  <c r="C11" i="4"/>
  <c r="AA27" i="3" l="1"/>
  <c r="AA16" i="2"/>
  <c r="AA13" i="2"/>
  <c r="AB11" i="2"/>
  <c r="AB10" i="2"/>
  <c r="AD11" i="3"/>
  <c r="AD10" i="3"/>
  <c r="AC16" i="3"/>
  <c r="AC13" i="3"/>
  <c r="AB17" i="3"/>
  <c r="AB14" i="3"/>
  <c r="I15" i="4"/>
  <c r="AA25" i="3"/>
  <c r="Z24" i="2"/>
  <c r="Z18" i="2"/>
  <c r="C12" i="4"/>
  <c r="Y25" i="2"/>
  <c r="Z27" i="2" l="1"/>
  <c r="C14" i="4"/>
  <c r="AE10" i="3"/>
  <c r="AE11" i="3" s="1"/>
  <c r="AD13" i="3"/>
  <c r="AD16" i="3"/>
  <c r="AB25" i="3"/>
  <c r="Z25" i="2"/>
  <c r="AB24" i="3"/>
  <c r="AB18" i="3"/>
  <c r="AC17" i="3"/>
  <c r="AC14" i="3"/>
  <c r="AB13" i="2"/>
  <c r="AB16" i="2"/>
  <c r="AC10" i="2"/>
  <c r="AC11" i="2"/>
  <c r="AA14" i="2"/>
  <c r="AA17" i="2"/>
  <c r="AF10" i="3" l="1"/>
  <c r="AF11" i="3" s="1"/>
  <c r="AE13" i="3"/>
  <c r="AE16" i="3"/>
  <c r="AC24" i="3"/>
  <c r="AC27" i="3" s="1"/>
  <c r="AC18" i="3"/>
  <c r="AB27" i="3"/>
  <c r="AB17" i="2"/>
  <c r="AB14" i="2"/>
  <c r="AA24" i="2"/>
  <c r="AA18" i="2"/>
  <c r="AD17" i="3"/>
  <c r="AD14" i="3"/>
  <c r="AC16" i="2"/>
  <c r="AC13" i="2"/>
  <c r="AD10" i="2"/>
  <c r="AD11" i="2"/>
  <c r="C15" i="4"/>
  <c r="AG10" i="3" l="1"/>
  <c r="AF13" i="3"/>
  <c r="AF16" i="3"/>
  <c r="AG11" i="3"/>
  <c r="AD24" i="3"/>
  <c r="AD27" i="3" s="1"/>
  <c r="AD18" i="3"/>
  <c r="AE11" i="2"/>
  <c r="AD13" i="2"/>
  <c r="AD16" i="2"/>
  <c r="AE10" i="2"/>
  <c r="AC25" i="3"/>
  <c r="AC17" i="2"/>
  <c r="AC14" i="2"/>
  <c r="AA27" i="2"/>
  <c r="AE17" i="3"/>
  <c r="AE14" i="3"/>
  <c r="AB18" i="2"/>
  <c r="AB24" i="2"/>
  <c r="AB27" i="2" s="1"/>
  <c r="AA25" i="2"/>
  <c r="AB25" i="2" s="1"/>
  <c r="AE16" i="2" l="1"/>
  <c r="AE13" i="2"/>
  <c r="AF10" i="2"/>
  <c r="AF11" i="2"/>
  <c r="AC18" i="2"/>
  <c r="AC24" i="2"/>
  <c r="AC27" i="2" s="1"/>
  <c r="AD25" i="3"/>
  <c r="AG16" i="3"/>
  <c r="AG13" i="3"/>
  <c r="AH10" i="3"/>
  <c r="AH11" i="3" s="1"/>
  <c r="AE24" i="3"/>
  <c r="AE18" i="3"/>
  <c r="AF14" i="3"/>
  <c r="AF17" i="3"/>
  <c r="AD17" i="2"/>
  <c r="AD14" i="2"/>
  <c r="AH16" i="3" l="1"/>
  <c r="AH13" i="3"/>
  <c r="AI10" i="3"/>
  <c r="AI11" i="3"/>
  <c r="AF13" i="2"/>
  <c r="AG10" i="2"/>
  <c r="AF16" i="2"/>
  <c r="AG11" i="2"/>
  <c r="AG17" i="3"/>
  <c r="AG14" i="3"/>
  <c r="AE27" i="3"/>
  <c r="AD24" i="2"/>
  <c r="AD27" i="2" s="1"/>
  <c r="AD18" i="2"/>
  <c r="AE17" i="2"/>
  <c r="AE14" i="2"/>
  <c r="AF24" i="3"/>
  <c r="AF27" i="3" s="1"/>
  <c r="AF18" i="3"/>
  <c r="AE25" i="3"/>
  <c r="AC25" i="2"/>
  <c r="AD25" i="2" s="1"/>
  <c r="AH10" i="2" l="1"/>
  <c r="AG13" i="2"/>
  <c r="AG16" i="2"/>
  <c r="AH11" i="2"/>
  <c r="AE24" i="2"/>
  <c r="AE27" i="2" s="1"/>
  <c r="AE18" i="2"/>
  <c r="AF25" i="3"/>
  <c r="AF17" i="2"/>
  <c r="AF14" i="2"/>
  <c r="AI16" i="3"/>
  <c r="AJ10" i="3"/>
  <c r="AI13" i="3"/>
  <c r="AJ11" i="3"/>
  <c r="AH17" i="3"/>
  <c r="AH14" i="3"/>
  <c r="AG24" i="3"/>
  <c r="AG27" i="3" s="1"/>
  <c r="AG18" i="3"/>
  <c r="AJ13" i="3" l="1"/>
  <c r="AJ16" i="3"/>
  <c r="AK10" i="3"/>
  <c r="AK11" i="3" s="1"/>
  <c r="AI17" i="3"/>
  <c r="AI14" i="3"/>
  <c r="AH13" i="2"/>
  <c r="AH16" i="2"/>
  <c r="AI10" i="2"/>
  <c r="AI11" i="2"/>
  <c r="AG14" i="2"/>
  <c r="AG17" i="2"/>
  <c r="AF24" i="2"/>
  <c r="AF27" i="2" s="1"/>
  <c r="AF18" i="2"/>
  <c r="AH24" i="3"/>
  <c r="AH27" i="3" s="1"/>
  <c r="AH18" i="3"/>
  <c r="AG25" i="3"/>
  <c r="AE25" i="2"/>
  <c r="AK16" i="3" l="1"/>
  <c r="AL10" i="3"/>
  <c r="J8" i="4" s="1"/>
  <c r="AK13" i="3"/>
  <c r="AH17" i="2"/>
  <c r="AH14" i="2"/>
  <c r="AI24" i="3"/>
  <c r="AI27" i="3" s="1"/>
  <c r="AI18" i="3"/>
  <c r="AH25" i="3"/>
  <c r="AG18" i="2"/>
  <c r="AG24" i="2"/>
  <c r="AG27" i="2" s="1"/>
  <c r="AF25" i="2"/>
  <c r="AG25" i="2" s="1"/>
  <c r="AI16" i="2"/>
  <c r="AI13" i="2"/>
  <c r="AJ10" i="2"/>
  <c r="AJ11" i="2" s="1"/>
  <c r="AJ17" i="3"/>
  <c r="AJ14" i="3"/>
  <c r="AJ16" i="2" l="1"/>
  <c r="AK10" i="2"/>
  <c r="AK11" i="2" s="1"/>
  <c r="AJ13" i="2"/>
  <c r="AI14" i="2"/>
  <c r="AI17" i="2"/>
  <c r="AH24" i="2"/>
  <c r="AH27" i="2" s="1"/>
  <c r="AH18" i="2"/>
  <c r="AK17" i="3"/>
  <c r="AK14" i="3"/>
  <c r="AJ24" i="3"/>
  <c r="AJ27" i="3" s="1"/>
  <c r="AJ18" i="3"/>
  <c r="AL11" i="3"/>
  <c r="AI25" i="3"/>
  <c r="AJ25" i="3" s="1"/>
  <c r="AK13" i="2" l="1"/>
  <c r="AK16" i="2"/>
  <c r="AL10" i="2"/>
  <c r="D8" i="4" s="1"/>
  <c r="AK25" i="3"/>
  <c r="AI24" i="2"/>
  <c r="AI27" i="2" s="1"/>
  <c r="AI18" i="2"/>
  <c r="J16" i="4"/>
  <c r="J6" i="4"/>
  <c r="AL16" i="3"/>
  <c r="AM10" i="3"/>
  <c r="AL13" i="3"/>
  <c r="AH25" i="2"/>
  <c r="AI25" i="2" s="1"/>
  <c r="AJ14" i="2"/>
  <c r="AJ17" i="2"/>
  <c r="AK24" i="3"/>
  <c r="AK27" i="3" s="1"/>
  <c r="AK18" i="3"/>
  <c r="J9" i="4" l="1"/>
  <c r="AL17" i="3"/>
  <c r="AL14" i="3"/>
  <c r="J10" i="4" s="1"/>
  <c r="J11" i="4"/>
  <c r="AM11" i="3"/>
  <c r="AK17" i="2"/>
  <c r="AK14" i="2"/>
  <c r="AJ24" i="2"/>
  <c r="AJ27" i="2" s="1"/>
  <c r="AJ18" i="2"/>
  <c r="AL11" i="2"/>
  <c r="D6" i="4" l="1"/>
  <c r="D16" i="4"/>
  <c r="AL16" i="2"/>
  <c r="AL13" i="2"/>
  <c r="AM10" i="2"/>
  <c r="AN11" i="3"/>
  <c r="AM16" i="3"/>
  <c r="AN10" i="3"/>
  <c r="AM13" i="3"/>
  <c r="AL24" i="3"/>
  <c r="AL18" i="3"/>
  <c r="J12" i="4"/>
  <c r="AK24" i="2"/>
  <c r="AK27" i="2" s="1"/>
  <c r="AK18" i="2"/>
  <c r="AJ25" i="2"/>
  <c r="AK25" i="2" s="1"/>
  <c r="AO10" i="3" l="1"/>
  <c r="AO11" i="3" s="1"/>
  <c r="AN13" i="3"/>
  <c r="AN16" i="3"/>
  <c r="D9" i="4"/>
  <c r="AL14" i="2"/>
  <c r="D10" i="4" s="1"/>
  <c r="AL17" i="2"/>
  <c r="D11" i="4"/>
  <c r="AL27" i="3"/>
  <c r="J14" i="4"/>
  <c r="AL25" i="3"/>
  <c r="AM11" i="2"/>
  <c r="AM17" i="3"/>
  <c r="AM14" i="3"/>
  <c r="AP10" i="3" l="1"/>
  <c r="AO13" i="3"/>
  <c r="AO16" i="3"/>
  <c r="AL18" i="2"/>
  <c r="AL24" i="2"/>
  <c r="D12" i="4"/>
  <c r="AM24" i="3"/>
  <c r="AM18" i="3"/>
  <c r="AM13" i="2"/>
  <c r="AM16" i="2"/>
  <c r="AN10" i="2"/>
  <c r="AN11" i="2"/>
  <c r="AM25" i="3"/>
  <c r="J15" i="4"/>
  <c r="AN14" i="3"/>
  <c r="AN17" i="3"/>
  <c r="AN16" i="2" l="1"/>
  <c r="AO10" i="2"/>
  <c r="AN13" i="2"/>
  <c r="AO11" i="2"/>
  <c r="AL27" i="2"/>
  <c r="D14" i="4"/>
  <c r="AL25" i="2"/>
  <c r="AM17" i="2"/>
  <c r="AM14" i="2"/>
  <c r="AO17" i="3"/>
  <c r="AO14" i="3"/>
  <c r="AN24" i="3"/>
  <c r="AN27" i="3" s="1"/>
  <c r="AN18" i="3"/>
  <c r="AM27" i="3"/>
  <c r="AP11" i="3"/>
  <c r="D15" i="4" l="1"/>
  <c r="AO13" i="2"/>
  <c r="AP10" i="2"/>
  <c r="AO16" i="2"/>
  <c r="AP11" i="2"/>
  <c r="AP16" i="3"/>
  <c r="AP13" i="3"/>
  <c r="AQ10" i="3"/>
  <c r="AQ11" i="3"/>
  <c r="AO24" i="3"/>
  <c r="AO27" i="3" s="1"/>
  <c r="AO18" i="3"/>
  <c r="AN17" i="2"/>
  <c r="AN14" i="2"/>
  <c r="AM18" i="2"/>
  <c r="AM24" i="2"/>
  <c r="AN25" i="3"/>
  <c r="AO25" i="3" s="1"/>
  <c r="AM27" i="2" l="1"/>
  <c r="AO17" i="2"/>
  <c r="AO14" i="2"/>
  <c r="AP14" i="3"/>
  <c r="AP17" i="3"/>
  <c r="AQ10" i="2"/>
  <c r="AP13" i="2"/>
  <c r="AP16" i="2"/>
  <c r="AQ11" i="2"/>
  <c r="AQ16" i="3"/>
  <c r="AR10" i="3"/>
  <c r="AQ13" i="3"/>
  <c r="AR11" i="3"/>
  <c r="AM25" i="2"/>
  <c r="AN24" i="2"/>
  <c r="AN27" i="2" s="1"/>
  <c r="AN18" i="2"/>
  <c r="AP18" i="3" l="1"/>
  <c r="AP24" i="3"/>
  <c r="AR16" i="3"/>
  <c r="AR13" i="3"/>
  <c r="AS10" i="3"/>
  <c r="AS11" i="3" s="1"/>
  <c r="AQ14" i="3"/>
  <c r="AQ17" i="3"/>
  <c r="AQ16" i="2"/>
  <c r="AQ13" i="2"/>
  <c r="AR10" i="2"/>
  <c r="AR11" i="2"/>
  <c r="AO24" i="2"/>
  <c r="AO27" i="2" s="1"/>
  <c r="AO18" i="2"/>
  <c r="AP17" i="2"/>
  <c r="AP14" i="2"/>
  <c r="AN25" i="2"/>
  <c r="AS13" i="3" l="1"/>
  <c r="AS16" i="3"/>
  <c r="AT10" i="3"/>
  <c r="AT11" i="3" s="1"/>
  <c r="AS10" i="2"/>
  <c r="AR13" i="2"/>
  <c r="AS11" i="2"/>
  <c r="AR16" i="2"/>
  <c r="AP24" i="2"/>
  <c r="AP27" i="2" s="1"/>
  <c r="AP18" i="2"/>
  <c r="AP27" i="3"/>
  <c r="AP25" i="3"/>
  <c r="AR14" i="3"/>
  <c r="AR17" i="3"/>
  <c r="AO25" i="2"/>
  <c r="AP25" i="2" s="1"/>
  <c r="AQ17" i="2"/>
  <c r="AQ14" i="2"/>
  <c r="AQ24" i="3"/>
  <c r="AQ27" i="3" s="1"/>
  <c r="AQ18" i="3"/>
  <c r="AT13" i="3" l="1"/>
  <c r="AT16" i="3"/>
  <c r="AU10" i="3"/>
  <c r="AU11" i="3" s="1"/>
  <c r="AR24" i="3"/>
  <c r="AR27" i="3" s="1"/>
  <c r="AR18" i="3"/>
  <c r="AR17" i="2"/>
  <c r="AR14" i="2"/>
  <c r="AQ25" i="3"/>
  <c r="AQ25" i="2"/>
  <c r="AT10" i="2"/>
  <c r="AT11" i="2" s="1"/>
  <c r="AS13" i="2"/>
  <c r="AS16" i="2"/>
  <c r="AQ24" i="2"/>
  <c r="AQ27" i="2" s="1"/>
  <c r="AQ18" i="2"/>
  <c r="AS14" i="3"/>
  <c r="AS17" i="3"/>
  <c r="AU16" i="3" l="1"/>
  <c r="AV10" i="3"/>
  <c r="AV11" i="3" s="1"/>
  <c r="AU13" i="3"/>
  <c r="AT13" i="2"/>
  <c r="AT16" i="2"/>
  <c r="AU10" i="2"/>
  <c r="AU11" i="2" s="1"/>
  <c r="AS14" i="2"/>
  <c r="AS17" i="2"/>
  <c r="AR24" i="2"/>
  <c r="AR18" i="2"/>
  <c r="AS24" i="3"/>
  <c r="AS27" i="3" s="1"/>
  <c r="AS18" i="3"/>
  <c r="AR25" i="2"/>
  <c r="AR25" i="3"/>
  <c r="AT17" i="3"/>
  <c r="AT14" i="3"/>
  <c r="AU16" i="2" l="1"/>
  <c r="AU13" i="2"/>
  <c r="AV10" i="2"/>
  <c r="AV11" i="2" s="1"/>
  <c r="AV16" i="3"/>
  <c r="AW10" i="3"/>
  <c r="AW11" i="3"/>
  <c r="AV13" i="3"/>
  <c r="AR27" i="2"/>
  <c r="AS24" i="2"/>
  <c r="AS27" i="2" s="1"/>
  <c r="AS18" i="2"/>
  <c r="AT14" i="2"/>
  <c r="AT17" i="2"/>
  <c r="AU17" i="3"/>
  <c r="AU14" i="3"/>
  <c r="AT24" i="3"/>
  <c r="AT27" i="3" s="1"/>
  <c r="AT18" i="3"/>
  <c r="AS25" i="3"/>
  <c r="AT25" i="3" s="1"/>
  <c r="AV16" i="2" l="1"/>
  <c r="AV13" i="2"/>
  <c r="AW10" i="2"/>
  <c r="AW11" i="2" s="1"/>
  <c r="AU24" i="3"/>
  <c r="AU27" i="3" s="1"/>
  <c r="AU18" i="3"/>
  <c r="AV17" i="3"/>
  <c r="AV14" i="3"/>
  <c r="AU17" i="2"/>
  <c r="AU14" i="2"/>
  <c r="AT24" i="2"/>
  <c r="AT27" i="2" s="1"/>
  <c r="AT18" i="2"/>
  <c r="AW16" i="3"/>
  <c r="AX10" i="3"/>
  <c r="K8" i="4" s="1"/>
  <c r="AW13" i="3"/>
  <c r="AS25" i="2"/>
  <c r="AW16" i="2" l="1"/>
  <c r="AW13" i="2"/>
  <c r="AX10" i="2"/>
  <c r="E8" i="4" s="1"/>
  <c r="AX11" i="2"/>
  <c r="AV14" i="2"/>
  <c r="AV17" i="2"/>
  <c r="AV24" i="3"/>
  <c r="AV27" i="3" s="1"/>
  <c r="AV18" i="3"/>
  <c r="AT25" i="2"/>
  <c r="AW14" i="3"/>
  <c r="AW17" i="3"/>
  <c r="AU18" i="2"/>
  <c r="AU24" i="2"/>
  <c r="AU27" i="2" s="1"/>
  <c r="AX11" i="3"/>
  <c r="AU25" i="3"/>
  <c r="AV25" i="3" s="1"/>
  <c r="K16" i="4" l="1"/>
  <c r="K6" i="4"/>
  <c r="AX16" i="3"/>
  <c r="AY10" i="3"/>
  <c r="AY11" i="3"/>
  <c r="AX13" i="3"/>
  <c r="E6" i="4"/>
  <c r="E16" i="4"/>
  <c r="AY10" i="2"/>
  <c r="AX16" i="2"/>
  <c r="AX13" i="2"/>
  <c r="AY11" i="2"/>
  <c r="AW24" i="3"/>
  <c r="AW27" i="3" s="1"/>
  <c r="AW18" i="3"/>
  <c r="AV18" i="2"/>
  <c r="AV24" i="2"/>
  <c r="AV27" i="2" s="1"/>
  <c r="AW17" i="2"/>
  <c r="AW14" i="2"/>
  <c r="AU25" i="2"/>
  <c r="AV25" i="2" s="1"/>
  <c r="AX14" i="3" l="1"/>
  <c r="K10" i="4" s="1"/>
  <c r="AX17" i="3"/>
  <c r="K9" i="4"/>
  <c r="K11" i="4"/>
  <c r="AY16" i="3"/>
  <c r="AZ10" i="3"/>
  <c r="AY13" i="3"/>
  <c r="AZ11" i="3"/>
  <c r="AW18" i="2"/>
  <c r="AW24" i="2"/>
  <c r="AW27" i="2" s="1"/>
  <c r="AY16" i="2"/>
  <c r="AY13" i="2"/>
  <c r="AZ10" i="2"/>
  <c r="AZ11" i="2"/>
  <c r="AW25" i="2"/>
  <c r="E9" i="4"/>
  <c r="AX17" i="2"/>
  <c r="AX14" i="2"/>
  <c r="E10" i="4" s="1"/>
  <c r="E11" i="4"/>
  <c r="AW25" i="3"/>
  <c r="AY17" i="2" l="1"/>
  <c r="AY14" i="2"/>
  <c r="AX24" i="2"/>
  <c r="AX18" i="2"/>
  <c r="E12" i="4"/>
  <c r="AX25" i="2"/>
  <c r="AZ13" i="3"/>
  <c r="AZ16" i="3"/>
  <c r="BA10" i="3"/>
  <c r="BA11" i="3"/>
  <c r="AY14" i="3"/>
  <c r="AY17" i="3"/>
  <c r="BA10" i="2"/>
  <c r="AZ13" i="2"/>
  <c r="AZ16" i="2"/>
  <c r="AX24" i="3"/>
  <c r="AX18" i="3"/>
  <c r="K12" i="4"/>
  <c r="AY24" i="3" l="1"/>
  <c r="AY18" i="3"/>
  <c r="AZ17" i="2"/>
  <c r="AZ14" i="2"/>
  <c r="E15" i="4"/>
  <c r="AX27" i="2"/>
  <c r="E14" i="4"/>
  <c r="AX27" i="3"/>
  <c r="K14" i="4"/>
  <c r="BA16" i="3"/>
  <c r="BA13" i="3"/>
  <c r="BB10" i="3"/>
  <c r="BB11" i="3"/>
  <c r="AY24" i="2"/>
  <c r="AY25" i="2" s="1"/>
  <c r="AY18" i="2"/>
  <c r="BA11" i="2"/>
  <c r="AZ17" i="3"/>
  <c r="AZ14" i="3"/>
  <c r="AX25" i="3"/>
  <c r="BA17" i="3" l="1"/>
  <c r="BA14" i="3"/>
  <c r="AZ24" i="3"/>
  <c r="AZ27" i="3" s="1"/>
  <c r="AZ18" i="3"/>
  <c r="BB10" i="2"/>
  <c r="BB11" i="2"/>
  <c r="BA13" i="2"/>
  <c r="BA16" i="2"/>
  <c r="AZ24" i="2"/>
  <c r="AZ27" i="2" s="1"/>
  <c r="AZ18" i="2"/>
  <c r="AY27" i="2"/>
  <c r="AY27" i="3"/>
  <c r="BB13" i="3"/>
  <c r="BB16" i="3"/>
  <c r="BC10" i="3"/>
  <c r="K15" i="4"/>
  <c r="AY25" i="3"/>
  <c r="AZ25" i="3" s="1"/>
  <c r="BB14" i="3" l="1"/>
  <c r="BB17" i="3"/>
  <c r="BA18" i="3"/>
  <c r="BA24" i="3"/>
  <c r="BA27" i="3" s="1"/>
  <c r="BA17" i="2"/>
  <c r="BA14" i="2"/>
  <c r="BC11" i="3"/>
  <c r="BC10" i="2"/>
  <c r="BC11" i="2" s="1"/>
  <c r="BB13" i="2"/>
  <c r="BB16" i="2"/>
  <c r="AZ25" i="2"/>
  <c r="BD10" i="2" l="1"/>
  <c r="BD11" i="2" s="1"/>
  <c r="BC13" i="2"/>
  <c r="BC16" i="2"/>
  <c r="BB14" i="2"/>
  <c r="BB17" i="2"/>
  <c r="BB18" i="3"/>
  <c r="BB24" i="3"/>
  <c r="BB27" i="3" s="1"/>
  <c r="BC13" i="3"/>
  <c r="BD10" i="3"/>
  <c r="BD11" i="3" s="1"/>
  <c r="BC16" i="3"/>
  <c r="BA24" i="2"/>
  <c r="BA18" i="2"/>
  <c r="BA25" i="2"/>
  <c r="BA25" i="3"/>
  <c r="BD13" i="3" l="1"/>
  <c r="BE10" i="3"/>
  <c r="BD16" i="3"/>
  <c r="BE11" i="3"/>
  <c r="BD13" i="2"/>
  <c r="BE11" i="2"/>
  <c r="BD16" i="2"/>
  <c r="BE10" i="2"/>
  <c r="BA27" i="2"/>
  <c r="BB25" i="3"/>
  <c r="BB24" i="2"/>
  <c r="BB27" i="2" s="1"/>
  <c r="BB18" i="2"/>
  <c r="BC17" i="2"/>
  <c r="BC14" i="2"/>
  <c r="BC17" i="3"/>
  <c r="BC14" i="3"/>
  <c r="BC18" i="2" l="1"/>
  <c r="BC24" i="2"/>
  <c r="BC27" i="2" s="1"/>
  <c r="BF10" i="3"/>
  <c r="BE16" i="3"/>
  <c r="BF11" i="3"/>
  <c r="BE13" i="3"/>
  <c r="BC24" i="3"/>
  <c r="BC18" i="3"/>
  <c r="BD17" i="3"/>
  <c r="BD14" i="3"/>
  <c r="BE16" i="2"/>
  <c r="BE13" i="2"/>
  <c r="BF11" i="2"/>
  <c r="BF10" i="2"/>
  <c r="BD17" i="2"/>
  <c r="BD14" i="2"/>
  <c r="BC25" i="3"/>
  <c r="BB25" i="2"/>
  <c r="BC25" i="2" s="1"/>
  <c r="BE17" i="3" l="1"/>
  <c r="BE14" i="3"/>
  <c r="BG10" i="3"/>
  <c r="BF16" i="3"/>
  <c r="BG11" i="3"/>
  <c r="BF13" i="3"/>
  <c r="BG10" i="2"/>
  <c r="BG11" i="2" s="1"/>
  <c r="BF16" i="2"/>
  <c r="BF13" i="2"/>
  <c r="BE17" i="2"/>
  <c r="BE14" i="2"/>
  <c r="BD25" i="2"/>
  <c r="BD25" i="3"/>
  <c r="BD18" i="2"/>
  <c r="BD24" i="2"/>
  <c r="BD24" i="3"/>
  <c r="BD27" i="3" s="1"/>
  <c r="BD18" i="3"/>
  <c r="BC27" i="3"/>
  <c r="BG16" i="2" l="1"/>
  <c r="BG13" i="2"/>
  <c r="BH10" i="2"/>
  <c r="BH11" i="2"/>
  <c r="BE24" i="2"/>
  <c r="BE27" i="2" s="1"/>
  <c r="BE18" i="2"/>
  <c r="BF14" i="3"/>
  <c r="BF17" i="3"/>
  <c r="BG16" i="3"/>
  <c r="BH10" i="3"/>
  <c r="BG13" i="3"/>
  <c r="BH11" i="3"/>
  <c r="BF17" i="2"/>
  <c r="BF14" i="2"/>
  <c r="BD27" i="2"/>
  <c r="BE24" i="3"/>
  <c r="BE27" i="3" s="1"/>
  <c r="BE18" i="3"/>
  <c r="BF24" i="2" l="1"/>
  <c r="BF27" i="2" s="1"/>
  <c r="BF18" i="2"/>
  <c r="BG14" i="3"/>
  <c r="BG17" i="3"/>
  <c r="BG17" i="2"/>
  <c r="BG14" i="2"/>
  <c r="BH13" i="3"/>
  <c r="BI10" i="3"/>
  <c r="BI11" i="3"/>
  <c r="BH16" i="3"/>
  <c r="BE25" i="2"/>
  <c r="BF25" i="2" s="1"/>
  <c r="BH13" i="2"/>
  <c r="BI10" i="2"/>
  <c r="BH16" i="2"/>
  <c r="BI11" i="2"/>
  <c r="BF24" i="3"/>
  <c r="BF27" i="3" s="1"/>
  <c r="BF18" i="3"/>
  <c r="BE25" i="3"/>
  <c r="BF25" i="3" s="1"/>
  <c r="BH14" i="3" l="1"/>
  <c r="BH17" i="3"/>
  <c r="BH17" i="2"/>
  <c r="BH14" i="2"/>
  <c r="BG24" i="3"/>
  <c r="BG27" i="3" s="1"/>
  <c r="BG18" i="3"/>
  <c r="BI16" i="3"/>
  <c r="BI13" i="3"/>
  <c r="BJ10" i="3"/>
  <c r="L8" i="4" s="1"/>
  <c r="BI16" i="2"/>
  <c r="BJ10" i="2"/>
  <c r="F8" i="4" s="1"/>
  <c r="BJ11" i="2"/>
  <c r="BI13" i="2"/>
  <c r="BG24" i="2"/>
  <c r="BG27" i="2" s="1"/>
  <c r="BG18" i="2"/>
  <c r="BG25" i="3" l="1"/>
  <c r="BH24" i="3"/>
  <c r="BH27" i="3" s="1"/>
  <c r="BH18" i="3"/>
  <c r="BI17" i="2"/>
  <c r="BI14" i="2"/>
  <c r="F6" i="4"/>
  <c r="F16" i="4"/>
  <c r="BJ16" i="2"/>
  <c r="BJ13" i="2"/>
  <c r="B20" i="4"/>
  <c r="BG25" i="2"/>
  <c r="BH18" i="2"/>
  <c r="BH24" i="2"/>
  <c r="BH27" i="2" s="1"/>
  <c r="BI14" i="3"/>
  <c r="BI17" i="3"/>
  <c r="BJ11" i="3"/>
  <c r="L16" i="4" l="1"/>
  <c r="L6" i="4"/>
  <c r="BJ16" i="3"/>
  <c r="BJ13" i="3"/>
  <c r="C20" i="4"/>
  <c r="BI18" i="3"/>
  <c r="BI24" i="3"/>
  <c r="BI27" i="3" s="1"/>
  <c r="BI24" i="2"/>
  <c r="BI27" i="2" s="1"/>
  <c r="BI18" i="2"/>
  <c r="BH25" i="2"/>
  <c r="F9" i="4"/>
  <c r="BJ14" i="2"/>
  <c r="F10" i="4" s="1"/>
  <c r="BJ17" i="2"/>
  <c r="B21" i="4"/>
  <c r="B23" i="4"/>
  <c r="B22" i="4"/>
  <c r="F11" i="4"/>
  <c r="BH25" i="3"/>
  <c r="BJ14" i="3" l="1"/>
  <c r="L10" i="4" s="1"/>
  <c r="BJ17" i="3"/>
  <c r="L9" i="4"/>
  <c r="C21" i="4"/>
  <c r="C22" i="4"/>
  <c r="C23" i="4"/>
  <c r="L11" i="4"/>
  <c r="BI25" i="2"/>
  <c r="BJ25" i="2" s="1"/>
  <c r="F15" i="4" s="1"/>
  <c r="BJ24" i="2"/>
  <c r="BJ18" i="2"/>
  <c r="F12" i="4"/>
  <c r="BI25" i="3"/>
  <c r="BJ24" i="3" l="1"/>
  <c r="BJ18" i="3"/>
  <c r="L12" i="4"/>
  <c r="BJ27" i="2"/>
  <c r="F14" i="4"/>
  <c r="BJ27" i="3" l="1"/>
  <c r="L14" i="4"/>
  <c r="BJ25" i="3"/>
  <c r="L15" i="4" s="1"/>
</calcChain>
</file>

<file path=xl/sharedStrings.xml><?xml version="1.0" encoding="utf-8"?>
<sst xmlns="http://schemas.openxmlformats.org/spreadsheetml/2006/main" count="250" uniqueCount="151">
  <si>
    <t>CivFlow — 5-Year Financial Projection: Assumptions</t>
  </si>
  <si>
    <t>All figures are illustrative planning assumptions for a pre-launch product, not guarantees or forecasts. Blue = input you can change. Yellow = key lever worth stress-testing first. AUD throughout.</t>
  </si>
  <si>
    <t>PRICING</t>
  </si>
  <si>
    <t>Price per customer (per month)</t>
  </si>
  <si>
    <t>Positioned above Buildxact's ~$199/mo entry tier and well below Buildertrend's ~$499/mo, reflecting CivFlow's QBCC-compliance-specific feature set (DTRs, deposit caps, MFR reminders, AI document filing). Sources: buildertrend.com/pricing; builtsimple.com.au 2026 comparison.</t>
  </si>
  <si>
    <t>MARKET SIZING — QUEENSLAND</t>
  </si>
  <si>
    <t>QBCC total licensees (all classes)</t>
  </si>
  <si>
    <t>Source: QBCC Licensed Contractors Register, data.qld.gov.au (current as at 04/08/2025). Covers builders, trade contractors, designers, supervisors and all other licence classes.</t>
  </si>
  <si>
    <t>Est. share that are 'builder' class (run whole projects, not trade-only)</t>
  </si>
  <si>
    <t>ASSUMPTION — QBCC does not publish a public breakdown of licensee counts by class. This is a directional estimate and the single biggest uncertainty in the whole model; worth replacing with the real number from a QBCC data request or the Open Data Portal CSV before relying on this.</t>
  </si>
  <si>
    <t>Estimated TAM — Qld builder-class businesses</t>
  </si>
  <si>
    <t>Serviceable share (small-to-mid builders, 1–30 staff)</t>
  </si>
  <si>
    <t>ASSUMPTION — excludes sole-operator renovators unlikely to pay for PM software, and large commercial/tier-1 builders who already run enterprise ERP systems.</t>
  </si>
  <si>
    <t>SAM — Qld serviceable addressable market (businesses)</t>
  </si>
  <si>
    <t>Note: expanding beyond Qld (NSW/Vic/etc.) could multiply TAM ~4–5x, but is out of scope for this 5-year model — treat as later upside, not a plan assumption.</t>
  </si>
  <si>
    <t>CHURN ASSUMPTIONS (monthly, by year)</t>
  </si>
  <si>
    <t>Year 1</t>
  </si>
  <si>
    <t>Year 2</t>
  </si>
  <si>
    <t>Year 3</t>
  </si>
  <si>
    <t>Year 4</t>
  </si>
  <si>
    <t>Year 5</t>
  </si>
  <si>
    <t>Solo — monthly churn</t>
  </si>
  <si>
    <t>Team — monthly churn</t>
  </si>
  <si>
    <t>Benchmark: SMB SaaS runs 3–5%/mo churn industry-wide; niche vertical tools with high switching cost (a builder's live project data) typically retain better than generic SMB software over time. Team scenario assumes a dedicated customer-success hire pulls churn down faster. Sources: withorb.com/blog/saas-benchmarks (2025), optif.ai churn benchmark report.</t>
  </si>
  <si>
    <t>NEW CUSTOMER ADDS PACE (customers/month — start of year → end of year, straight-line within year)</t>
  </si>
  <si>
    <t>Solo — pace at start of year</t>
  </si>
  <si>
    <t>Solo — pace at end of year</t>
  </si>
  <si>
    <t>Team — pace at start of year</t>
  </si>
  <si>
    <t>Team — pace at end of year</t>
  </si>
  <si>
    <t>ASSUMPTION — an illustrative growth ramp, not a pipeline forecast. Year 1 is identical for both scenarios (no team yet); from Year 2, Team scenario grows faster because a dedicated hire removes the founder as the bottleneck on sales + onboarding + support. Replace with real numbers once you have actual leads/signups to anchor on.</t>
  </si>
  <si>
    <t>COST ASSUMPTIONS</t>
  </si>
  <si>
    <t>Infra COGS per customer (per month)</t>
  </si>
  <si>
    <t>ASSUMPTION — blended Supabase + Vercel + Anthropic Claude API cost at moderate usage (a few AI document-filing calls per customer per week, plus hosting/storage). Order-of-magnitude estimate; validate against real usage after launch.</t>
  </si>
  <si>
    <t>Solo — marketing &amp; tools spend (per month)</t>
  </si>
  <si>
    <t>Team — marketing &amp; tools spend (per month)</t>
  </si>
  <si>
    <t>Solo — salaries (n/a, founder-operated)</t>
  </si>
  <si>
    <t>Team — salaries, annualized ($/yr, phased hiring)</t>
  </si>
  <si>
    <t>ASSUMPTION — Team scenario phases in: Year 2 part-time customer success hire (~$50k/yr average), Year 3 adds a junior BD/sales hire (~$130k/yr combined), scaling to ~$220k/yr combined by Year 5. Solo scenario has no payroll; Net Income there is pre-tax income available to the founder.</t>
  </si>
  <si>
    <t>LAUNCH</t>
  </si>
  <si>
    <t>Model launch (Month 1)</t>
  </si>
  <si>
    <t>Aug 2026</t>
  </si>
  <si>
    <t>Today's date is 19 Jul 2026; the model assumes first paying customers start Aug 2026.</t>
  </si>
  <si>
    <t>CivFlow — Monthly Model: Solo (founder-operated)</t>
  </si>
  <si>
    <t>Month #</t>
  </si>
  <si>
    <t>Calendar month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</si>
  <si>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</si>
  <si>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</si>
  <si>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</si>
  <si>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</si>
  <si>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</si>
  <si>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</si>
  <si>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</si>
  <si>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</si>
  <si>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</si>
  <si>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</si>
  <si>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</si>
  <si>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</si>
  <si>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</si>
  <si>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</si>
  <si>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</si>
  <si>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</si>
  <si>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</si>
  <si>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</si>
  <si>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</si>
  <si>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</si>
  <si>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</si>
  <si>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</si>
  <si>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</si>
  <si>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</si>
  <si>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</si>
  <si>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</si>
  <si>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</si>
  <si>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</si>
  <si>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</si>
  <si>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</si>
  <si>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</si>
  <si>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</si>
  <si>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</si>
  <si>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</si>
  <si>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</si>
  <si>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</si>
  <si>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</si>
  <si>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</si>
  <si>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</si>
  <si>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</si>
  <si>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</si>
  <si>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</si>
  <si>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</si>
  <si>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</si>
  <si>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</si>
  <si>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</si>
  <si>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</si>
  <si>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Jul-30</t>
  </si>
  <si>
    <t>Aug-30</t>
  </si>
  <si>
    <t>Sep-30</t>
  </si>
  <si>
    <t>Oct-30</t>
  </si>
  <si>
    <t>Nov-30</t>
  </si>
  <si>
    <t>Dec-30</t>
  </si>
  <si>
    <t>Jan-31</t>
  </si>
  <si>
    <t>Feb-31</t>
  </si>
  <si>
    <t>Mar-31</t>
  </si>
  <si>
    <t>Apr-31</t>
  </si>
  <si>
    <t>May-31</t>
  </si>
  <si>
    <t>Jun-31</t>
  </si>
  <si>
    <t>Jul-31</t>
  </si>
  <si>
    <t>Year</t>
  </si>
  <si>
    <t>Month-in-year</t>
  </si>
  <si>
    <t>New customers added</t>
  </si>
  <si>
    <t>Monthly churn rate</t>
  </si>
  <si>
    <t>Customers churned</t>
  </si>
  <si>
    <t>Ending customers</t>
  </si>
  <si>
    <t>MRR</t>
  </si>
  <si>
    <t>ARR (run-rate)</t>
  </si>
  <si>
    <t>Infra COGS</t>
  </si>
  <si>
    <t>Gross profit</t>
  </si>
  <si>
    <t>Gross margin %</t>
  </si>
  <si>
    <t>Marketing &amp; tools spend</t>
  </si>
  <si>
    <t>Salaries</t>
  </si>
  <si>
    <t>Total opex (below gross profit)</t>
  </si>
  <si>
    <t>Net income (monthly)</t>
  </si>
  <si>
    <t>Cumulative net cash flow</t>
  </si>
  <si>
    <t>Net income positive? (1/0)</t>
  </si>
  <si>
    <t>CivFlow — Monthly Model: Small Team (phased hiring from Year 2)</t>
  </si>
  <si>
    <t>CivFlow — 5-Year Annual Summary &amp; Milestones</t>
  </si>
  <si>
    <t>Year-end snapshots pulled from the monthly models. Solo = founder-operated. Team = phased hiring from Year 2. All figures AUD.</t>
  </si>
  <si>
    <t>SOLO SCENARIO</t>
  </si>
  <si>
    <t>TEAM SCENARIO</t>
  </si>
  <si>
    <t>Ending customers (year-end)</t>
  </si>
  <si>
    <t>New customers added (annual)</t>
  </si>
  <si>
    <t>Customers churned (annual)</t>
  </si>
  <si>
    <t>MRR (year-end)</t>
  </si>
  <si>
    <t>ARR (year-end run-rate)</t>
  </si>
  <si>
    <t>Annual revenue (actual, sum of monthly MRR)</t>
  </si>
  <si>
    <t>Actual billed revenue for the year (accounts for ramp within the year) — different from, and lower than, year-end ARR run-rate.</t>
  </si>
  <si>
    <t>Annual gross profit</t>
  </si>
  <si>
    <t>Annual opex (marketing + salaries)</t>
  </si>
  <si>
    <t>Annual net income</t>
  </si>
  <si>
    <t>Solo: pre-tax income available to the founder (no payroll modeled). Team: pre-tax business profit after salaries.</t>
  </si>
  <si>
    <t>Cumulative net cash flow (year-end)</t>
  </si>
  <si>
    <t>Customers as % of SAM</t>
  </si>
  <si>
    <t>Sanity check: share of the ~Qld serviceable market (Assumptions tab) captured by Year 5. Keep this in view — if it looks too high to be credible, the growth ramp assumptions are too aggressive.</t>
  </si>
  <si>
    <t>MILESTONES — WHAT TO AIM FOR</t>
  </si>
  <si>
    <t>Solo</t>
  </si>
  <si>
    <t>Team</t>
  </si>
  <si>
    <t>First month with 100 customers</t>
  </si>
  <si>
    <t>First month MRR reaches $10,000</t>
  </si>
  <si>
    <t>First month MRR reaches $50,000</t>
  </si>
  <si>
    <t>First month MRR reaches $100,000</t>
  </si>
  <si>
    <t>First month net income turns positive ('breakeven')</t>
  </si>
  <si>
    <t>Marks when monthly revenue first covers that month's costs — not a guarantee it stays positive every month after (a new hire or slow month could dip it briefly).</t>
  </si>
  <si>
    <t>Read this as a planning tool, not a forecast: the single most sensitive input is the new-customer-adds ramp on the Assumptions tab — halving it roughly doubles every milestone month above. Update it as soon as you have real signup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</si>
</sst>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#,##0;\(#,##0\);\-"/>
    <numFmt numFmtId="166" formatCode="0.0%;\(0.0%\);\-"/>
    <numFmt numFmtId="167" formatCode="#,##0.0;\(#,##0.0\);\-"/>
    <numFmt numFmtId="168" formatCode="0.00%;\(0.00%\);\-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8"/>
      <color rgb="FF666666"/>
      <name val="Arial"/>
      <family val="2"/>
    </font>
    <font>
      <sz val="10"/>
      <color rgb="FF000000"/>
      <name val="Arial"/>
      <family val="2"/>
    </font>
    <font>
      <b/>
      <sz val="10"/>
      <color rgb="FF1E3A5F"/>
      <name val="Arial"/>
      <family val="2"/>
    </font>
    <font>
      <b/>
      <sz val="9"/>
      <name val="Arial"/>
      <family val="2"/>
    </font>
    <font>
      <b/>
      <sz val="8"/>
      <color rgb="FF1E3A5F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9"/>
      <color rgb="FF1E3A5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F9C"/>
        <bgColor rgb="FFEDEDED"/>
      </patternFill>
    </fill>
    <fill>
      <patternFill patternType="solid">
        <fgColor rgb="FFD9E2F3"/>
        <bgColor rgb="FFEDE7F6"/>
      </patternFill>
    </fill>
    <fill>
      <patternFill patternType="solid">
        <fgColor rgb="FFEDEDED"/>
        <bgColor rgb="FFEDE7F6"/>
      </patternFill>
    </fill>
    <fill>
      <patternFill patternType="solid">
        <fgColor rgb="FF2563EB"/>
        <bgColor rgb="FF0066CC"/>
      </patternFill>
    </fill>
    <fill>
      <patternFill patternType="solid">
        <fgColor rgb="FF7C3AED"/>
        <bgColor rgb="FF993366"/>
      </patternFill>
    </fill>
    <fill>
      <patternFill patternType="solid">
        <fgColor rgb="FFE8F0FE"/>
        <bgColor rgb="FFEDEDED"/>
      </patternFill>
    </fill>
    <fill>
      <patternFill patternType="solid">
        <fgColor rgb="FFEDE7F6"/>
        <bgColor rgb="FFEDEDE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6" fillId="0" borderId="0" xfId="0" applyFont="1" applyAlignment="1">
      <alignment wrapText="1"/>
    </xf>
    <xf numFmtId="0" fontId="3" fillId="7" borderId="0" xfId="0" applyFont="1" applyFill="1"/>
    <xf numFmtId="0" fontId="3" fillId="6" borderId="0" xfId="0" applyFont="1" applyFill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4" fillId="0" borderId="0" xfId="0" applyFont="1"/>
    <xf numFmtId="164" fontId="5" fillId="3" borderId="1" xfId="0" applyNumberFormat="1" applyFont="1" applyFill="1" applyBorder="1"/>
    <xf numFmtId="0" fontId="6" fillId="0" borderId="0" xfId="0" applyFont="1"/>
    <xf numFmtId="165" fontId="5" fillId="0" borderId="1" xfId="0" applyNumberFormat="1" applyFont="1" applyBorder="1"/>
    <xf numFmtId="166" fontId="5" fillId="3" borderId="1" xfId="0" applyNumberFormat="1" applyFont="1" applyFill="1" applyBorder="1"/>
    <xf numFmtId="165" fontId="7" fillId="0" borderId="1" xfId="0" applyNumberFormat="1" applyFont="1" applyBorder="1"/>
    <xf numFmtId="165" fontId="7" fillId="3" borderId="1" xfId="0" applyNumberFormat="1" applyFont="1" applyFill="1" applyBorder="1"/>
    <xf numFmtId="0" fontId="8" fillId="4" borderId="0" xfId="0" applyFont="1" applyFill="1" applyAlignment="1">
      <alignment horizontal="center"/>
    </xf>
    <xf numFmtId="166" fontId="5" fillId="0" borderId="1" xfId="0" applyNumberFormat="1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9" fillId="0" borderId="0" xfId="0" applyFont="1"/>
    <xf numFmtId="0" fontId="10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0" fillId="5" borderId="0" xfId="0" applyFill="1"/>
    <xf numFmtId="167" fontId="12" fillId="0" borderId="1" xfId="0" applyNumberFormat="1" applyFont="1" applyBorder="1"/>
    <xf numFmtId="167" fontId="12" fillId="5" borderId="1" xfId="0" applyNumberFormat="1" applyFont="1" applyFill="1" applyBorder="1"/>
    <xf numFmtId="168" fontId="12" fillId="0" borderId="1" xfId="0" applyNumberFormat="1" applyFont="1" applyBorder="1"/>
    <xf numFmtId="168" fontId="12" fillId="5" borderId="1" xfId="0" applyNumberFormat="1" applyFont="1" applyFill="1" applyBorder="1"/>
    <xf numFmtId="167" fontId="11" fillId="0" borderId="1" xfId="0" applyNumberFormat="1" applyFont="1" applyBorder="1"/>
    <xf numFmtId="167" fontId="11" fillId="5" borderId="1" xfId="0" applyNumberFormat="1" applyFont="1" applyFill="1" applyBorder="1"/>
    <xf numFmtId="164" fontId="11" fillId="0" borderId="1" xfId="0" applyNumberFormat="1" applyFont="1" applyBorder="1"/>
    <xf numFmtId="164" fontId="11" fillId="5" borderId="1" xfId="0" applyNumberFormat="1" applyFont="1" applyFill="1" applyBorder="1"/>
    <xf numFmtId="168" fontId="11" fillId="0" borderId="1" xfId="0" applyNumberFormat="1" applyFont="1" applyBorder="1"/>
    <xf numFmtId="168" fontId="11" fillId="5" borderId="1" xfId="0" applyNumberFormat="1" applyFont="1" applyFill="1" applyBorder="1"/>
    <xf numFmtId="164" fontId="12" fillId="0" borderId="1" xfId="0" applyNumberFormat="1" applyFont="1" applyBorder="1"/>
    <xf numFmtId="164" fontId="12" fillId="5" borderId="1" xfId="0" applyNumberFormat="1" applyFont="1" applyFill="1" applyBorder="1"/>
    <xf numFmtId="1" fontId="11" fillId="0" borderId="1" xfId="0" applyNumberFormat="1" applyFont="1" applyBorder="1"/>
    <xf numFmtId="0" fontId="13" fillId="4" borderId="0" xfId="0" applyFont="1" applyFill="1" applyAlignment="1">
      <alignment horizontal="center"/>
    </xf>
    <xf numFmtId="167" fontId="11" fillId="8" borderId="1" xfId="0" applyNumberFormat="1" applyFont="1" applyFill="1" applyBorder="1"/>
    <xf numFmtId="167" fontId="11" fillId="9" borderId="1" xfId="0" applyNumberFormat="1" applyFont="1" applyFill="1" applyBorder="1"/>
    <xf numFmtId="164" fontId="11" fillId="8" borderId="1" xfId="0" applyNumberFormat="1" applyFont="1" applyFill="1" applyBorder="1"/>
    <xf numFmtId="164" fontId="11" fillId="9" borderId="1" xfId="0" applyNumberFormat="1" applyFont="1" applyFill="1" applyBorder="1"/>
    <xf numFmtId="166" fontId="11" fillId="8" borderId="1" xfId="0" applyNumberFormat="1" applyFont="1" applyFill="1" applyBorder="1"/>
    <xf numFmtId="166" fontId="11" fillId="9" borderId="1" xfId="0" applyNumberFormat="1" applyFont="1" applyFill="1" applyBorder="1"/>
    <xf numFmtId="0" fontId="13" fillId="0" borderId="0" xfId="0" applyFont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C3AED"/>
      <rgbColor rgb="FFEDEDED"/>
      <rgbColor rgb="FFE8F0FE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FFF9C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tabSelected="1" topLeftCell="A9" zoomScaleNormal="100" workbookViewId="0">
      <selection sqref="A1:F1"/>
    </sheetView>
  </sheetViews>
  <sheetFormatPr baseColWidth="10" defaultColWidth="8.6640625" defaultRowHeight="15" x14ac:dyDescent="0.2"/>
  <cols>
    <col min="1" max="1" width="46" customWidth="1"/>
    <col min="2" max="5" width="13" customWidth="1"/>
    <col min="6" max="6" width="58" customWidth="1"/>
  </cols>
  <sheetData>
    <row r="1" spans="1:6" ht="24" customHeight="1" x14ac:dyDescent="0.2">
      <c r="A1" s="8" t="s">
        <v>0</v>
      </c>
      <c r="B1" s="8"/>
      <c r="C1" s="8"/>
      <c r="D1" s="8"/>
      <c r="E1" s="8"/>
      <c r="F1" s="8"/>
    </row>
    <row r="2" spans="1:6" ht="25.5" customHeight="1" x14ac:dyDescent="0.2">
      <c r="A2" s="7" t="s">
        <v>1</v>
      </c>
      <c r="B2" s="7"/>
      <c r="C2" s="7"/>
      <c r="D2" s="7"/>
      <c r="E2" s="7"/>
      <c r="F2" s="7"/>
    </row>
    <row r="4" spans="1:6" ht="15.75" customHeight="1" x14ac:dyDescent="0.2">
      <c r="A4" s="6" t="s">
        <v>2</v>
      </c>
      <c r="B4" s="6"/>
      <c r="C4" s="6"/>
      <c r="D4" s="6"/>
      <c r="E4" s="6"/>
      <c r="F4" s="6"/>
    </row>
    <row r="5" spans="1:6" x14ac:dyDescent="0.2">
      <c r="A5" s="9" t="s">
        <v>3</v>
      </c>
      <c r="B5" s="10">
        <v>200</v>
      </c>
      <c r="F5" s="11" t="s">
        <v>4</v>
      </c>
    </row>
    <row r="7" spans="1:6" ht="15.75" customHeight="1" x14ac:dyDescent="0.2">
      <c r="A7" s="6" t="s">
        <v>5</v>
      </c>
      <c r="B7" s="6"/>
      <c r="C7" s="6"/>
      <c r="D7" s="6"/>
      <c r="E7" s="6"/>
      <c r="F7" s="6"/>
    </row>
    <row r="8" spans="1:6" x14ac:dyDescent="0.2">
      <c r="A8" s="9" t="s">
        <v>6</v>
      </c>
      <c r="B8" s="12">
        <v>122000</v>
      </c>
      <c r="F8" s="11" t="s">
        <v>7</v>
      </c>
    </row>
    <row r="9" spans="1:6" x14ac:dyDescent="0.2">
      <c r="A9" s="9" t="s">
        <v>8</v>
      </c>
      <c r="B9" s="13">
        <v>0.08</v>
      </c>
      <c r="F9" s="11" t="s">
        <v>9</v>
      </c>
    </row>
    <row r="10" spans="1:6" x14ac:dyDescent="0.2">
      <c r="A10" s="9" t="s">
        <v>10</v>
      </c>
      <c r="B10" s="14">
        <f>B8*B9</f>
        <v>9760</v>
      </c>
    </row>
    <row r="11" spans="1:6" x14ac:dyDescent="0.2">
      <c r="A11" s="9" t="s">
        <v>11</v>
      </c>
      <c r="B11" s="13">
        <v>0.6</v>
      </c>
      <c r="F11" s="11" t="s">
        <v>12</v>
      </c>
    </row>
    <row r="12" spans="1:6" x14ac:dyDescent="0.2">
      <c r="A12" s="9" t="s">
        <v>13</v>
      </c>
      <c r="B12" s="15">
        <f>B10*B11</f>
        <v>5856</v>
      </c>
    </row>
    <row r="13" spans="1:6" x14ac:dyDescent="0.2">
      <c r="A13" s="11" t="s">
        <v>14</v>
      </c>
    </row>
    <row r="15" spans="1:6" ht="15.75" customHeight="1" x14ac:dyDescent="0.2">
      <c r="A15" s="6" t="s">
        <v>15</v>
      </c>
      <c r="B15" s="6"/>
      <c r="C15" s="6"/>
      <c r="D15" s="6"/>
      <c r="E15" s="6"/>
      <c r="F15" s="6"/>
    </row>
    <row r="16" spans="1:6" x14ac:dyDescent="0.2">
      <c r="A16" s="9"/>
      <c r="B16" s="16" t="s">
        <v>16</v>
      </c>
      <c r="C16" s="16" t="s">
        <v>17</v>
      </c>
      <c r="D16" s="16" t="s">
        <v>18</v>
      </c>
      <c r="E16" s="16" t="s">
        <v>19</v>
      </c>
      <c r="F16" s="16" t="s">
        <v>20</v>
      </c>
    </row>
    <row r="17" spans="1:6" x14ac:dyDescent="0.2">
      <c r="A17" s="9" t="s">
        <v>21</v>
      </c>
      <c r="B17" s="17">
        <v>4.4999999999999998E-2</v>
      </c>
      <c r="C17" s="17">
        <v>3.7999999999999999E-2</v>
      </c>
      <c r="D17" s="17">
        <v>3.2000000000000001E-2</v>
      </c>
      <c r="E17" s="17">
        <v>2.8000000000000001E-2</v>
      </c>
      <c r="F17" s="17">
        <v>2.5000000000000001E-2</v>
      </c>
    </row>
    <row r="18" spans="1:6" x14ac:dyDescent="0.2">
      <c r="A18" s="9" t="s">
        <v>22</v>
      </c>
      <c r="B18" s="17">
        <v>4.4999999999999998E-2</v>
      </c>
      <c r="C18" s="17">
        <v>0.03</v>
      </c>
      <c r="D18" s="17">
        <v>2.1999999999999999E-2</v>
      </c>
      <c r="E18" s="17">
        <v>1.7999999999999999E-2</v>
      </c>
      <c r="F18" s="17">
        <v>1.4999999999999999E-2</v>
      </c>
    </row>
    <row r="19" spans="1:6" x14ac:dyDescent="0.2">
      <c r="A19" s="11" t="s">
        <v>23</v>
      </c>
    </row>
    <row r="21" spans="1:6" ht="15.75" customHeight="1" x14ac:dyDescent="0.2">
      <c r="A21" s="6" t="s">
        <v>24</v>
      </c>
      <c r="B21" s="6"/>
      <c r="C21" s="6"/>
      <c r="D21" s="6"/>
      <c r="E21" s="6"/>
      <c r="F21" s="6"/>
    </row>
    <row r="22" spans="1:6" x14ac:dyDescent="0.2">
      <c r="B22" s="16" t="s">
        <v>16</v>
      </c>
      <c r="C22" s="16" t="s">
        <v>17</v>
      </c>
      <c r="D22" s="16" t="s">
        <v>18</v>
      </c>
      <c r="E22" s="16" t="s">
        <v>19</v>
      </c>
      <c r="F22" s="16" t="s">
        <v>20</v>
      </c>
    </row>
    <row r="23" spans="1:6" x14ac:dyDescent="0.2">
      <c r="A23" s="9" t="s">
        <v>25</v>
      </c>
      <c r="B23" s="12">
        <v>1</v>
      </c>
      <c r="C23" s="12">
        <v>5</v>
      </c>
      <c r="D23" s="12">
        <v>9</v>
      </c>
      <c r="E23" s="12">
        <v>12</v>
      </c>
      <c r="F23" s="12">
        <v>15</v>
      </c>
    </row>
    <row r="24" spans="1:6" x14ac:dyDescent="0.2">
      <c r="A24" s="9" t="s">
        <v>26</v>
      </c>
      <c r="B24" s="12">
        <v>5</v>
      </c>
      <c r="C24" s="12">
        <v>9</v>
      </c>
      <c r="D24" s="12">
        <v>13</v>
      </c>
      <c r="E24" s="12">
        <v>16</v>
      </c>
      <c r="F24" s="12">
        <v>18</v>
      </c>
    </row>
    <row r="25" spans="1:6" x14ac:dyDescent="0.2">
      <c r="A25" s="9" t="s">
        <v>27</v>
      </c>
      <c r="B25" s="12">
        <v>1</v>
      </c>
      <c r="C25" s="12">
        <v>6</v>
      </c>
      <c r="D25" s="12">
        <v>14</v>
      </c>
      <c r="E25" s="12">
        <v>22</v>
      </c>
      <c r="F25" s="12">
        <v>30</v>
      </c>
    </row>
    <row r="26" spans="1:6" x14ac:dyDescent="0.2">
      <c r="A26" s="9" t="s">
        <v>28</v>
      </c>
      <c r="B26" s="12">
        <v>5</v>
      </c>
      <c r="C26" s="12">
        <v>14</v>
      </c>
      <c r="D26" s="12">
        <v>24</v>
      </c>
      <c r="E26" s="12">
        <v>32</v>
      </c>
      <c r="F26" s="12">
        <v>40</v>
      </c>
    </row>
    <row r="27" spans="1:6" x14ac:dyDescent="0.2">
      <c r="A27" s="11" t="s">
        <v>29</v>
      </c>
    </row>
    <row r="29" spans="1:6" ht="15.75" customHeight="1" x14ac:dyDescent="0.2">
      <c r="A29" s="6" t="s">
        <v>30</v>
      </c>
      <c r="B29" s="6"/>
      <c r="C29" s="6"/>
      <c r="D29" s="6"/>
      <c r="E29" s="6"/>
      <c r="F29" s="6"/>
    </row>
    <row r="30" spans="1:6" x14ac:dyDescent="0.2">
      <c r="A30" s="9" t="s">
        <v>31</v>
      </c>
      <c r="B30" s="10">
        <v>20</v>
      </c>
      <c r="F30" s="11" t="s">
        <v>32</v>
      </c>
    </row>
    <row r="31" spans="1:6" x14ac:dyDescent="0.2">
      <c r="B31" s="16" t="s">
        <v>16</v>
      </c>
      <c r="C31" s="16" t="s">
        <v>17</v>
      </c>
      <c r="D31" s="16" t="s">
        <v>18</v>
      </c>
      <c r="E31" s="16" t="s">
        <v>19</v>
      </c>
      <c r="F31" s="16" t="s">
        <v>20</v>
      </c>
    </row>
    <row r="32" spans="1:6" x14ac:dyDescent="0.2">
      <c r="A32" s="9" t="s">
        <v>33</v>
      </c>
      <c r="B32" s="18">
        <v>50</v>
      </c>
      <c r="C32" s="18">
        <v>120</v>
      </c>
      <c r="D32" s="18">
        <v>200</v>
      </c>
      <c r="E32" s="18">
        <v>300</v>
      </c>
      <c r="F32" s="18">
        <v>400</v>
      </c>
    </row>
    <row r="33" spans="1:6" x14ac:dyDescent="0.2">
      <c r="A33" s="9" t="s">
        <v>34</v>
      </c>
      <c r="B33" s="18">
        <v>150</v>
      </c>
      <c r="C33" s="18">
        <v>500</v>
      </c>
      <c r="D33" s="18">
        <v>1000</v>
      </c>
      <c r="E33" s="18">
        <v>1500</v>
      </c>
      <c r="F33" s="18">
        <v>2000</v>
      </c>
    </row>
    <row r="34" spans="1:6" x14ac:dyDescent="0.2">
      <c r="A34" s="9" t="s">
        <v>35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</row>
    <row r="35" spans="1:6" x14ac:dyDescent="0.2">
      <c r="A35" s="9" t="s">
        <v>36</v>
      </c>
      <c r="B35" s="18">
        <v>0</v>
      </c>
      <c r="C35" s="18">
        <v>50000</v>
      </c>
      <c r="D35" s="18">
        <v>130000</v>
      </c>
      <c r="E35" s="18">
        <v>170000</v>
      </c>
      <c r="F35" s="18">
        <v>220000</v>
      </c>
    </row>
    <row r="36" spans="1:6" x14ac:dyDescent="0.2">
      <c r="A36" s="11" t="s">
        <v>37</v>
      </c>
    </row>
    <row r="38" spans="1:6" ht="15.75" customHeight="1" x14ac:dyDescent="0.2">
      <c r="A38" s="6" t="s">
        <v>38</v>
      </c>
      <c r="B38" s="6"/>
      <c r="C38" s="6"/>
      <c r="D38" s="6"/>
      <c r="E38" s="6"/>
      <c r="F38" s="6"/>
    </row>
    <row r="39" spans="1:6" x14ac:dyDescent="0.2">
      <c r="A39" s="9" t="s">
        <v>39</v>
      </c>
      <c r="B39" s="19" t="s">
        <v>40</v>
      </c>
      <c r="F39" s="11" t="s">
        <v>41</v>
      </c>
    </row>
  </sheetData>
  <mergeCells count="8">
    <mergeCell ref="A21:F21"/>
    <mergeCell ref="A29:F29"/>
    <mergeCell ref="A38:F38"/>
    <mergeCell ref="A1:F1"/>
    <mergeCell ref="A2:F2"/>
    <mergeCell ref="A4:F4"/>
    <mergeCell ref="A7:F7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37" sqref="F37"/>
    </sheetView>
  </sheetViews>
  <sheetFormatPr baseColWidth="10" defaultColWidth="8.6640625" defaultRowHeight="15" x14ac:dyDescent="0.2"/>
  <cols>
    <col min="1" max="1" width="30" customWidth="1"/>
    <col min="2" max="2" width="3" customWidth="1"/>
    <col min="3" max="62" width="9.5" customWidth="1"/>
  </cols>
  <sheetData>
    <row r="1" spans="1:62" ht="21.75" customHeight="1" x14ac:dyDescent="0.2">
      <c r="A1" s="5" t="s">
        <v>42</v>
      </c>
      <c r="B1" s="5"/>
      <c r="C1" s="5"/>
      <c r="D1" s="5"/>
    </row>
    <row r="2" spans="1:62" ht="3.75" customHeight="1" x14ac:dyDescent="0.2"/>
    <row r="3" spans="1:62" x14ac:dyDescent="0.2">
      <c r="A3" s="20" t="s">
        <v>43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21">
        <v>6</v>
      </c>
      <c r="I3" s="21">
        <v>7</v>
      </c>
      <c r="J3" s="21">
        <v>8</v>
      </c>
      <c r="K3" s="21">
        <v>9</v>
      </c>
      <c r="L3" s="21">
        <v>10</v>
      </c>
      <c r="M3" s="21">
        <v>11</v>
      </c>
      <c r="N3" s="22">
        <v>12</v>
      </c>
      <c r="O3" s="21">
        <v>13</v>
      </c>
      <c r="P3" s="21">
        <v>14</v>
      </c>
      <c r="Q3" s="21">
        <v>15</v>
      </c>
      <c r="R3" s="21">
        <v>16</v>
      </c>
      <c r="S3" s="21">
        <v>17</v>
      </c>
      <c r="T3" s="21">
        <v>18</v>
      </c>
      <c r="U3" s="21">
        <v>19</v>
      </c>
      <c r="V3" s="21">
        <v>20</v>
      </c>
      <c r="W3" s="21">
        <v>21</v>
      </c>
      <c r="X3" s="21">
        <v>22</v>
      </c>
      <c r="Y3" s="21">
        <v>23</v>
      </c>
      <c r="Z3" s="22">
        <v>24</v>
      </c>
      <c r="AA3" s="21">
        <v>25</v>
      </c>
      <c r="AB3" s="21">
        <v>26</v>
      </c>
      <c r="AC3" s="21">
        <v>27</v>
      </c>
      <c r="AD3" s="21">
        <v>28</v>
      </c>
      <c r="AE3" s="21">
        <v>29</v>
      </c>
      <c r="AF3" s="21">
        <v>30</v>
      </c>
      <c r="AG3" s="21">
        <v>31</v>
      </c>
      <c r="AH3" s="21">
        <v>32</v>
      </c>
      <c r="AI3" s="21">
        <v>33</v>
      </c>
      <c r="AJ3" s="21">
        <v>34</v>
      </c>
      <c r="AK3" s="21">
        <v>35</v>
      </c>
      <c r="AL3" s="22">
        <v>36</v>
      </c>
      <c r="AM3" s="21">
        <v>37</v>
      </c>
      <c r="AN3" s="21">
        <v>38</v>
      </c>
      <c r="AO3" s="21">
        <v>39</v>
      </c>
      <c r="AP3" s="21">
        <v>40</v>
      </c>
      <c r="AQ3" s="21">
        <v>41</v>
      </c>
      <c r="AR3" s="21">
        <v>42</v>
      </c>
      <c r="AS3" s="21">
        <v>43</v>
      </c>
      <c r="AT3" s="21">
        <v>44</v>
      </c>
      <c r="AU3" s="21">
        <v>45</v>
      </c>
      <c r="AV3" s="21">
        <v>46</v>
      </c>
      <c r="AW3" s="21">
        <v>47</v>
      </c>
      <c r="AX3" s="22">
        <v>48</v>
      </c>
      <c r="AY3" s="21">
        <v>49</v>
      </c>
      <c r="AZ3" s="21">
        <v>50</v>
      </c>
      <c r="BA3" s="21">
        <v>51</v>
      </c>
      <c r="BB3" s="21">
        <v>52</v>
      </c>
      <c r="BC3" s="21">
        <v>53</v>
      </c>
      <c r="BD3" s="21">
        <v>54</v>
      </c>
      <c r="BE3" s="21">
        <v>55</v>
      </c>
      <c r="BF3" s="21">
        <v>56</v>
      </c>
      <c r="BG3" s="21">
        <v>57</v>
      </c>
      <c r="BH3" s="21">
        <v>58</v>
      </c>
      <c r="BI3" s="21">
        <v>59</v>
      </c>
      <c r="BJ3" s="22">
        <v>60</v>
      </c>
    </row>
    <row r="4" spans="1:62" x14ac:dyDescent="0.2">
      <c r="A4" s="20" t="s">
        <v>44</v>
      </c>
      <c r="C4" s="23" t="s">
        <v>45</v>
      </c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2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2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2" t="s">
        <v>80</v>
      </c>
      <c r="AM4" s="23" t="s">
        <v>81</v>
      </c>
      <c r="AN4" s="23" t="s">
        <v>82</v>
      </c>
      <c r="AO4" s="23" t="s">
        <v>83</v>
      </c>
      <c r="AP4" s="23" t="s">
        <v>84</v>
      </c>
      <c r="AQ4" s="23" t="s">
        <v>85</v>
      </c>
      <c r="AR4" s="23" t="s">
        <v>86</v>
      </c>
      <c r="AS4" s="23" t="s">
        <v>87</v>
      </c>
      <c r="AT4" s="23" t="s">
        <v>88</v>
      </c>
      <c r="AU4" s="23" t="s">
        <v>89</v>
      </c>
      <c r="AV4" s="23" t="s">
        <v>90</v>
      </c>
      <c r="AW4" s="23" t="s">
        <v>91</v>
      </c>
      <c r="AX4" s="22" t="s">
        <v>92</v>
      </c>
      <c r="AY4" s="23" t="s">
        <v>93</v>
      </c>
      <c r="AZ4" s="23" t="s">
        <v>94</v>
      </c>
      <c r="BA4" s="23" t="s">
        <v>95</v>
      </c>
      <c r="BB4" s="23" t="s">
        <v>96</v>
      </c>
      <c r="BC4" s="23" t="s">
        <v>97</v>
      </c>
      <c r="BD4" s="23" t="s">
        <v>98</v>
      </c>
      <c r="BE4" s="23" t="s">
        <v>99</v>
      </c>
      <c r="BF4" s="23" t="s">
        <v>100</v>
      </c>
      <c r="BG4" s="23" t="s">
        <v>101</v>
      </c>
      <c r="BH4" s="23" t="s">
        <v>102</v>
      </c>
      <c r="BI4" s="23" t="s">
        <v>103</v>
      </c>
      <c r="BJ4" s="22" t="s">
        <v>104</v>
      </c>
    </row>
    <row r="5" spans="1:62" x14ac:dyDescent="0.2">
      <c r="A5" s="20" t="s">
        <v>105</v>
      </c>
      <c r="C5" s="24">
        <f t="shared" ref="C5:AH5" si="0">ROUNDUP(C3/12,0)</f>
        <v>1</v>
      </c>
      <c r="D5" s="24">
        <f t="shared" si="0"/>
        <v>1</v>
      </c>
      <c r="E5" s="24">
        <f t="shared" si="0"/>
        <v>1</v>
      </c>
      <c r="F5" s="24">
        <f t="shared" si="0"/>
        <v>1</v>
      </c>
      <c r="G5" s="24">
        <f t="shared" si="0"/>
        <v>1</v>
      </c>
      <c r="H5" s="24">
        <f t="shared" si="0"/>
        <v>1</v>
      </c>
      <c r="I5" s="24">
        <f t="shared" si="0"/>
        <v>1</v>
      </c>
      <c r="J5" s="24">
        <f t="shared" si="0"/>
        <v>1</v>
      </c>
      <c r="K5" s="24">
        <f t="shared" si="0"/>
        <v>1</v>
      </c>
      <c r="L5" s="24">
        <f t="shared" si="0"/>
        <v>1</v>
      </c>
      <c r="M5" s="24">
        <f t="shared" si="0"/>
        <v>1</v>
      </c>
      <c r="N5" s="25">
        <f t="shared" si="0"/>
        <v>1</v>
      </c>
      <c r="O5" s="24">
        <f t="shared" si="0"/>
        <v>2</v>
      </c>
      <c r="P5" s="24">
        <f t="shared" si="0"/>
        <v>2</v>
      </c>
      <c r="Q5" s="24">
        <f t="shared" si="0"/>
        <v>2</v>
      </c>
      <c r="R5" s="24">
        <f t="shared" si="0"/>
        <v>2</v>
      </c>
      <c r="S5" s="24">
        <f t="shared" si="0"/>
        <v>2</v>
      </c>
      <c r="T5" s="24">
        <f t="shared" si="0"/>
        <v>2</v>
      </c>
      <c r="U5" s="24">
        <f t="shared" si="0"/>
        <v>2</v>
      </c>
      <c r="V5" s="24">
        <f t="shared" si="0"/>
        <v>2</v>
      </c>
      <c r="W5" s="24">
        <f t="shared" si="0"/>
        <v>2</v>
      </c>
      <c r="X5" s="24">
        <f t="shared" si="0"/>
        <v>2</v>
      </c>
      <c r="Y5" s="24">
        <f t="shared" si="0"/>
        <v>2</v>
      </c>
      <c r="Z5" s="25">
        <f t="shared" si="0"/>
        <v>2</v>
      </c>
      <c r="AA5" s="24">
        <f t="shared" si="0"/>
        <v>3</v>
      </c>
      <c r="AB5" s="24">
        <f t="shared" si="0"/>
        <v>3</v>
      </c>
      <c r="AC5" s="24">
        <f t="shared" si="0"/>
        <v>3</v>
      </c>
      <c r="AD5" s="24">
        <f t="shared" si="0"/>
        <v>3</v>
      </c>
      <c r="AE5" s="24">
        <f t="shared" si="0"/>
        <v>3</v>
      </c>
      <c r="AF5" s="24">
        <f t="shared" si="0"/>
        <v>3</v>
      </c>
      <c r="AG5" s="24">
        <f t="shared" si="0"/>
        <v>3</v>
      </c>
      <c r="AH5" s="24">
        <f t="shared" si="0"/>
        <v>3</v>
      </c>
      <c r="AI5" s="24">
        <f t="shared" ref="AI5:BJ5" si="1">ROUNDUP(AI3/12,0)</f>
        <v>3</v>
      </c>
      <c r="AJ5" s="24">
        <f t="shared" si="1"/>
        <v>3</v>
      </c>
      <c r="AK5" s="24">
        <f t="shared" si="1"/>
        <v>3</v>
      </c>
      <c r="AL5" s="25">
        <f t="shared" si="1"/>
        <v>3</v>
      </c>
      <c r="AM5" s="24">
        <f t="shared" si="1"/>
        <v>4</v>
      </c>
      <c r="AN5" s="24">
        <f t="shared" si="1"/>
        <v>4</v>
      </c>
      <c r="AO5" s="24">
        <f t="shared" si="1"/>
        <v>4</v>
      </c>
      <c r="AP5" s="24">
        <f t="shared" si="1"/>
        <v>4</v>
      </c>
      <c r="AQ5" s="24">
        <f t="shared" si="1"/>
        <v>4</v>
      </c>
      <c r="AR5" s="24">
        <f t="shared" si="1"/>
        <v>4</v>
      </c>
      <c r="AS5" s="24">
        <f t="shared" si="1"/>
        <v>4</v>
      </c>
      <c r="AT5" s="24">
        <f t="shared" si="1"/>
        <v>4</v>
      </c>
      <c r="AU5" s="24">
        <f t="shared" si="1"/>
        <v>4</v>
      </c>
      <c r="AV5" s="24">
        <f t="shared" si="1"/>
        <v>4</v>
      </c>
      <c r="AW5" s="24">
        <f t="shared" si="1"/>
        <v>4</v>
      </c>
      <c r="AX5" s="25">
        <f t="shared" si="1"/>
        <v>4</v>
      </c>
      <c r="AY5" s="24">
        <f t="shared" si="1"/>
        <v>5</v>
      </c>
      <c r="AZ5" s="24">
        <f t="shared" si="1"/>
        <v>5</v>
      </c>
      <c r="BA5" s="24">
        <f t="shared" si="1"/>
        <v>5</v>
      </c>
      <c r="BB5" s="24">
        <f t="shared" si="1"/>
        <v>5</v>
      </c>
      <c r="BC5" s="24">
        <f t="shared" si="1"/>
        <v>5</v>
      </c>
      <c r="BD5" s="24">
        <f t="shared" si="1"/>
        <v>5</v>
      </c>
      <c r="BE5" s="24">
        <f t="shared" si="1"/>
        <v>5</v>
      </c>
      <c r="BF5" s="24">
        <f t="shared" si="1"/>
        <v>5</v>
      </c>
      <c r="BG5" s="24">
        <f t="shared" si="1"/>
        <v>5</v>
      </c>
      <c r="BH5" s="24">
        <f t="shared" si="1"/>
        <v>5</v>
      </c>
      <c r="BI5" s="24">
        <f t="shared" si="1"/>
        <v>5</v>
      </c>
      <c r="BJ5" s="25">
        <f t="shared" si="1"/>
        <v>5</v>
      </c>
    </row>
    <row r="6" spans="1:62" x14ac:dyDescent="0.2">
      <c r="A6" s="20" t="s">
        <v>106</v>
      </c>
      <c r="C6" s="24">
        <f t="shared" ref="C6:AH6" si="2">C3-(C5-1)*12</f>
        <v>1</v>
      </c>
      <c r="D6" s="24">
        <f t="shared" si="2"/>
        <v>2</v>
      </c>
      <c r="E6" s="24">
        <f t="shared" si="2"/>
        <v>3</v>
      </c>
      <c r="F6" s="24">
        <f t="shared" si="2"/>
        <v>4</v>
      </c>
      <c r="G6" s="24">
        <f t="shared" si="2"/>
        <v>5</v>
      </c>
      <c r="H6" s="24">
        <f t="shared" si="2"/>
        <v>6</v>
      </c>
      <c r="I6" s="24">
        <f t="shared" si="2"/>
        <v>7</v>
      </c>
      <c r="J6" s="24">
        <f t="shared" si="2"/>
        <v>8</v>
      </c>
      <c r="K6" s="24">
        <f t="shared" si="2"/>
        <v>9</v>
      </c>
      <c r="L6" s="24">
        <f t="shared" si="2"/>
        <v>10</v>
      </c>
      <c r="M6" s="24">
        <f t="shared" si="2"/>
        <v>11</v>
      </c>
      <c r="N6" s="25">
        <f t="shared" si="2"/>
        <v>12</v>
      </c>
      <c r="O6" s="24">
        <f t="shared" si="2"/>
        <v>1</v>
      </c>
      <c r="P6" s="24">
        <f t="shared" si="2"/>
        <v>2</v>
      </c>
      <c r="Q6" s="24">
        <f t="shared" si="2"/>
        <v>3</v>
      </c>
      <c r="R6" s="24">
        <f t="shared" si="2"/>
        <v>4</v>
      </c>
      <c r="S6" s="24">
        <f t="shared" si="2"/>
        <v>5</v>
      </c>
      <c r="T6" s="24">
        <f t="shared" si="2"/>
        <v>6</v>
      </c>
      <c r="U6" s="24">
        <f t="shared" si="2"/>
        <v>7</v>
      </c>
      <c r="V6" s="24">
        <f t="shared" si="2"/>
        <v>8</v>
      </c>
      <c r="W6" s="24">
        <f t="shared" si="2"/>
        <v>9</v>
      </c>
      <c r="X6" s="24">
        <f t="shared" si="2"/>
        <v>10</v>
      </c>
      <c r="Y6" s="24">
        <f t="shared" si="2"/>
        <v>11</v>
      </c>
      <c r="Z6" s="25">
        <f t="shared" si="2"/>
        <v>12</v>
      </c>
      <c r="AA6" s="24">
        <f t="shared" si="2"/>
        <v>1</v>
      </c>
      <c r="AB6" s="24">
        <f t="shared" si="2"/>
        <v>2</v>
      </c>
      <c r="AC6" s="24">
        <f t="shared" si="2"/>
        <v>3</v>
      </c>
      <c r="AD6" s="24">
        <f t="shared" si="2"/>
        <v>4</v>
      </c>
      <c r="AE6" s="24">
        <f t="shared" si="2"/>
        <v>5</v>
      </c>
      <c r="AF6" s="24">
        <f t="shared" si="2"/>
        <v>6</v>
      </c>
      <c r="AG6" s="24">
        <f t="shared" si="2"/>
        <v>7</v>
      </c>
      <c r="AH6" s="24">
        <f t="shared" si="2"/>
        <v>8</v>
      </c>
      <c r="AI6" s="24">
        <f t="shared" ref="AI6:BN6" si="3">AI3-(AI5-1)*12</f>
        <v>9</v>
      </c>
      <c r="AJ6" s="24">
        <f t="shared" si="3"/>
        <v>10</v>
      </c>
      <c r="AK6" s="24">
        <f t="shared" si="3"/>
        <v>11</v>
      </c>
      <c r="AL6" s="25">
        <f t="shared" si="3"/>
        <v>12</v>
      </c>
      <c r="AM6" s="24">
        <f t="shared" si="3"/>
        <v>1</v>
      </c>
      <c r="AN6" s="24">
        <f t="shared" si="3"/>
        <v>2</v>
      </c>
      <c r="AO6" s="24">
        <f t="shared" si="3"/>
        <v>3</v>
      </c>
      <c r="AP6" s="24">
        <f t="shared" si="3"/>
        <v>4</v>
      </c>
      <c r="AQ6" s="24">
        <f t="shared" si="3"/>
        <v>5</v>
      </c>
      <c r="AR6" s="24">
        <f t="shared" si="3"/>
        <v>6</v>
      </c>
      <c r="AS6" s="24">
        <f t="shared" si="3"/>
        <v>7</v>
      </c>
      <c r="AT6" s="24">
        <f t="shared" si="3"/>
        <v>8</v>
      </c>
      <c r="AU6" s="24">
        <f t="shared" si="3"/>
        <v>9</v>
      </c>
      <c r="AV6" s="24">
        <f t="shared" si="3"/>
        <v>10</v>
      </c>
      <c r="AW6" s="24">
        <f t="shared" si="3"/>
        <v>11</v>
      </c>
      <c r="AX6" s="25">
        <f t="shared" si="3"/>
        <v>12</v>
      </c>
      <c r="AY6" s="24">
        <f t="shared" si="3"/>
        <v>1</v>
      </c>
      <c r="AZ6" s="24">
        <f t="shared" si="3"/>
        <v>2</v>
      </c>
      <c r="BA6" s="24">
        <f t="shared" si="3"/>
        <v>3</v>
      </c>
      <c r="BB6" s="24">
        <f t="shared" si="3"/>
        <v>4</v>
      </c>
      <c r="BC6" s="24">
        <f t="shared" si="3"/>
        <v>5</v>
      </c>
      <c r="BD6" s="24">
        <f t="shared" si="3"/>
        <v>6</v>
      </c>
      <c r="BE6" s="24">
        <f t="shared" si="3"/>
        <v>7</v>
      </c>
      <c r="BF6" s="24">
        <f t="shared" si="3"/>
        <v>8</v>
      </c>
      <c r="BG6" s="24">
        <f t="shared" si="3"/>
        <v>9</v>
      </c>
      <c r="BH6" s="24">
        <f t="shared" si="3"/>
        <v>10</v>
      </c>
      <c r="BI6" s="24">
        <f t="shared" si="3"/>
        <v>11</v>
      </c>
      <c r="BJ6" s="25">
        <f t="shared" si="3"/>
        <v>12</v>
      </c>
    </row>
    <row r="7" spans="1:62" x14ac:dyDescent="0.2">
      <c r="N7" s="26"/>
      <c r="Z7" s="26"/>
      <c r="AL7" s="26"/>
      <c r="AX7" s="26"/>
      <c r="BJ7" s="26"/>
    </row>
    <row r="8" spans="1:62" x14ac:dyDescent="0.2">
      <c r="A8" s="20" t="s">
        <v>107</v>
      </c>
      <c r="C8" s="27">
        <f>ROUND(INDEX(Assumptions!$B$23:$F$23,1,C5)+(INDEX(Assumptions!$B$24:$F$24,1,C5)-INDEX(Assumptions!$B$23:$F$23,1,C5))*(C6-1)/11,1)</f>
        <v>1</v>
      </c>
      <c r="D8" s="27">
        <f>ROUND(INDEX(Assumptions!$B$23:$F$23,1,D5)+(INDEX(Assumptions!$B$24:$F$24,1,D5)-INDEX(Assumptions!$B$23:$F$23,1,D5))*(D6-1)/11,1)</f>
        <v>1.4</v>
      </c>
      <c r="E8" s="27">
        <f>ROUND(INDEX(Assumptions!$B$23:$F$23,1,E5)+(INDEX(Assumptions!$B$24:$F$24,1,E5)-INDEX(Assumptions!$B$23:$F$23,1,E5))*(E6-1)/11,1)</f>
        <v>1.7</v>
      </c>
      <c r="F8" s="27">
        <f>ROUND(INDEX(Assumptions!$B$23:$F$23,1,F5)+(INDEX(Assumptions!$B$24:$F$24,1,F5)-INDEX(Assumptions!$B$23:$F$23,1,F5))*(F6-1)/11,1)</f>
        <v>2.1</v>
      </c>
      <c r="G8" s="27">
        <f>ROUND(INDEX(Assumptions!$B$23:$F$23,1,G5)+(INDEX(Assumptions!$B$24:$F$24,1,G5)-INDEX(Assumptions!$B$23:$F$23,1,G5))*(G6-1)/11,1)</f>
        <v>2.5</v>
      </c>
      <c r="H8" s="27">
        <f>ROUND(INDEX(Assumptions!$B$23:$F$23,1,H5)+(INDEX(Assumptions!$B$24:$F$24,1,H5)-INDEX(Assumptions!$B$23:$F$23,1,H5))*(H6-1)/11,1)</f>
        <v>2.8</v>
      </c>
      <c r="I8" s="27">
        <f>ROUND(INDEX(Assumptions!$B$23:$F$23,1,I5)+(INDEX(Assumptions!$B$24:$F$24,1,I5)-INDEX(Assumptions!$B$23:$F$23,1,I5))*(I6-1)/11,1)</f>
        <v>3.2</v>
      </c>
      <c r="J8" s="27">
        <f>ROUND(INDEX(Assumptions!$B$23:$F$23,1,J5)+(INDEX(Assumptions!$B$24:$F$24,1,J5)-INDEX(Assumptions!$B$23:$F$23,1,J5))*(J6-1)/11,1)</f>
        <v>3.5</v>
      </c>
      <c r="K8" s="27">
        <f>ROUND(INDEX(Assumptions!$B$23:$F$23,1,K5)+(INDEX(Assumptions!$B$24:$F$24,1,K5)-INDEX(Assumptions!$B$23:$F$23,1,K5))*(K6-1)/11,1)</f>
        <v>3.9</v>
      </c>
      <c r="L8" s="27">
        <f>ROUND(INDEX(Assumptions!$B$23:$F$23,1,L5)+(INDEX(Assumptions!$B$24:$F$24,1,L5)-INDEX(Assumptions!$B$23:$F$23,1,L5))*(L6-1)/11,1)</f>
        <v>4.3</v>
      </c>
      <c r="M8" s="27">
        <f>ROUND(INDEX(Assumptions!$B$23:$F$23,1,M5)+(INDEX(Assumptions!$B$24:$F$24,1,M5)-INDEX(Assumptions!$B$23:$F$23,1,M5))*(M6-1)/11,1)</f>
        <v>4.5999999999999996</v>
      </c>
      <c r="N8" s="28">
        <f>ROUND(INDEX(Assumptions!$B$23:$F$23,1,N5)+(INDEX(Assumptions!$B$24:$F$24,1,N5)-INDEX(Assumptions!$B$23:$F$23,1,N5))*(N6-1)/11,1)</f>
        <v>5</v>
      </c>
      <c r="O8" s="27">
        <f>ROUND(INDEX(Assumptions!$B$23:$F$23,1,O5)+(INDEX(Assumptions!$B$24:$F$24,1,O5)-INDEX(Assumptions!$B$23:$F$23,1,O5))*(O6-1)/11,1)</f>
        <v>5</v>
      </c>
      <c r="P8" s="27">
        <f>ROUND(INDEX(Assumptions!$B$23:$F$23,1,P5)+(INDEX(Assumptions!$B$24:$F$24,1,P5)-INDEX(Assumptions!$B$23:$F$23,1,P5))*(P6-1)/11,1)</f>
        <v>5.4</v>
      </c>
      <c r="Q8" s="27">
        <f>ROUND(INDEX(Assumptions!$B$23:$F$23,1,Q5)+(INDEX(Assumptions!$B$24:$F$24,1,Q5)-INDEX(Assumptions!$B$23:$F$23,1,Q5))*(Q6-1)/11,1)</f>
        <v>5.7</v>
      </c>
      <c r="R8" s="27">
        <f>ROUND(INDEX(Assumptions!$B$23:$F$23,1,R5)+(INDEX(Assumptions!$B$24:$F$24,1,R5)-INDEX(Assumptions!$B$23:$F$23,1,R5))*(R6-1)/11,1)</f>
        <v>6.1</v>
      </c>
      <c r="S8" s="27">
        <f>ROUND(INDEX(Assumptions!$B$23:$F$23,1,S5)+(INDEX(Assumptions!$B$24:$F$24,1,S5)-INDEX(Assumptions!$B$23:$F$23,1,S5))*(S6-1)/11,1)</f>
        <v>6.5</v>
      </c>
      <c r="T8" s="27">
        <f>ROUND(INDEX(Assumptions!$B$23:$F$23,1,T5)+(INDEX(Assumptions!$B$24:$F$24,1,T5)-INDEX(Assumptions!$B$23:$F$23,1,T5))*(T6-1)/11,1)</f>
        <v>6.8</v>
      </c>
      <c r="U8" s="27">
        <f>ROUND(INDEX(Assumptions!$B$23:$F$23,1,U5)+(INDEX(Assumptions!$B$24:$F$24,1,U5)-INDEX(Assumptions!$B$23:$F$23,1,U5))*(U6-1)/11,1)</f>
        <v>7.2</v>
      </c>
      <c r="V8" s="27">
        <f>ROUND(INDEX(Assumptions!$B$23:$F$23,1,V5)+(INDEX(Assumptions!$B$24:$F$24,1,V5)-INDEX(Assumptions!$B$23:$F$23,1,V5))*(V6-1)/11,1)</f>
        <v>7.5</v>
      </c>
      <c r="W8" s="27">
        <f>ROUND(INDEX(Assumptions!$B$23:$F$23,1,W5)+(INDEX(Assumptions!$B$24:$F$24,1,W5)-INDEX(Assumptions!$B$23:$F$23,1,W5))*(W6-1)/11,1)</f>
        <v>7.9</v>
      </c>
      <c r="X8" s="27">
        <f>ROUND(INDEX(Assumptions!$B$23:$F$23,1,X5)+(INDEX(Assumptions!$B$24:$F$24,1,X5)-INDEX(Assumptions!$B$23:$F$23,1,X5))*(X6-1)/11,1)</f>
        <v>8.3000000000000007</v>
      </c>
      <c r="Y8" s="27">
        <f>ROUND(INDEX(Assumptions!$B$23:$F$23,1,Y5)+(INDEX(Assumptions!$B$24:$F$24,1,Y5)-INDEX(Assumptions!$B$23:$F$23,1,Y5))*(Y6-1)/11,1)</f>
        <v>8.6</v>
      </c>
      <c r="Z8" s="28">
        <f>ROUND(INDEX(Assumptions!$B$23:$F$23,1,Z5)+(INDEX(Assumptions!$B$24:$F$24,1,Z5)-INDEX(Assumptions!$B$23:$F$23,1,Z5))*(Z6-1)/11,1)</f>
        <v>9</v>
      </c>
      <c r="AA8" s="27">
        <f>ROUND(INDEX(Assumptions!$B$23:$F$23,1,AA5)+(INDEX(Assumptions!$B$24:$F$24,1,AA5)-INDEX(Assumptions!$B$23:$F$23,1,AA5))*(AA6-1)/11,1)</f>
        <v>9</v>
      </c>
      <c r="AB8" s="27">
        <f>ROUND(INDEX(Assumptions!$B$23:$F$23,1,AB5)+(INDEX(Assumptions!$B$24:$F$24,1,AB5)-INDEX(Assumptions!$B$23:$F$23,1,AB5))*(AB6-1)/11,1)</f>
        <v>9.4</v>
      </c>
      <c r="AC8" s="27">
        <f>ROUND(INDEX(Assumptions!$B$23:$F$23,1,AC5)+(INDEX(Assumptions!$B$24:$F$24,1,AC5)-INDEX(Assumptions!$B$23:$F$23,1,AC5))*(AC6-1)/11,1)</f>
        <v>9.6999999999999993</v>
      </c>
      <c r="AD8" s="27">
        <f>ROUND(INDEX(Assumptions!$B$23:$F$23,1,AD5)+(INDEX(Assumptions!$B$24:$F$24,1,AD5)-INDEX(Assumptions!$B$23:$F$23,1,AD5))*(AD6-1)/11,1)</f>
        <v>10.1</v>
      </c>
      <c r="AE8" s="27">
        <f>ROUND(INDEX(Assumptions!$B$23:$F$23,1,AE5)+(INDEX(Assumptions!$B$24:$F$24,1,AE5)-INDEX(Assumptions!$B$23:$F$23,1,AE5))*(AE6-1)/11,1)</f>
        <v>10.5</v>
      </c>
      <c r="AF8" s="27">
        <f>ROUND(INDEX(Assumptions!$B$23:$F$23,1,AF5)+(INDEX(Assumptions!$B$24:$F$24,1,AF5)-INDEX(Assumptions!$B$23:$F$23,1,AF5))*(AF6-1)/11,1)</f>
        <v>10.8</v>
      </c>
      <c r="AG8" s="27">
        <f>ROUND(INDEX(Assumptions!$B$23:$F$23,1,AG5)+(INDEX(Assumptions!$B$24:$F$24,1,AG5)-INDEX(Assumptions!$B$23:$F$23,1,AG5))*(AG6-1)/11,1)</f>
        <v>11.2</v>
      </c>
      <c r="AH8" s="27">
        <f>ROUND(INDEX(Assumptions!$B$23:$F$23,1,AH5)+(INDEX(Assumptions!$B$24:$F$24,1,AH5)-INDEX(Assumptions!$B$23:$F$23,1,AH5))*(AH6-1)/11,1)</f>
        <v>11.5</v>
      </c>
      <c r="AI8" s="27">
        <f>ROUND(INDEX(Assumptions!$B$23:$F$23,1,AI5)+(INDEX(Assumptions!$B$24:$F$24,1,AI5)-INDEX(Assumptions!$B$23:$F$23,1,AI5))*(AI6-1)/11,1)</f>
        <v>11.9</v>
      </c>
      <c r="AJ8" s="27">
        <f>ROUND(INDEX(Assumptions!$B$23:$F$23,1,AJ5)+(INDEX(Assumptions!$B$24:$F$24,1,AJ5)-INDEX(Assumptions!$B$23:$F$23,1,AJ5))*(AJ6-1)/11,1)</f>
        <v>12.3</v>
      </c>
      <c r="AK8" s="27">
        <f>ROUND(INDEX(Assumptions!$B$23:$F$23,1,AK5)+(INDEX(Assumptions!$B$24:$F$24,1,AK5)-INDEX(Assumptions!$B$23:$F$23,1,AK5))*(AK6-1)/11,1)</f>
        <v>12.6</v>
      </c>
      <c r="AL8" s="28">
        <f>ROUND(INDEX(Assumptions!$B$23:$F$23,1,AL5)+(INDEX(Assumptions!$B$24:$F$24,1,AL5)-INDEX(Assumptions!$B$23:$F$23,1,AL5))*(AL6-1)/11,1)</f>
        <v>13</v>
      </c>
      <c r="AM8" s="27">
        <f>ROUND(INDEX(Assumptions!$B$23:$F$23,1,AM5)+(INDEX(Assumptions!$B$24:$F$24,1,AM5)-INDEX(Assumptions!$B$23:$F$23,1,AM5))*(AM6-1)/11,1)</f>
        <v>12</v>
      </c>
      <c r="AN8" s="27">
        <f>ROUND(INDEX(Assumptions!$B$23:$F$23,1,AN5)+(INDEX(Assumptions!$B$24:$F$24,1,AN5)-INDEX(Assumptions!$B$23:$F$23,1,AN5))*(AN6-1)/11,1)</f>
        <v>12.4</v>
      </c>
      <c r="AO8" s="27">
        <f>ROUND(INDEX(Assumptions!$B$23:$F$23,1,AO5)+(INDEX(Assumptions!$B$24:$F$24,1,AO5)-INDEX(Assumptions!$B$23:$F$23,1,AO5))*(AO6-1)/11,1)</f>
        <v>12.7</v>
      </c>
      <c r="AP8" s="27">
        <f>ROUND(INDEX(Assumptions!$B$23:$F$23,1,AP5)+(INDEX(Assumptions!$B$24:$F$24,1,AP5)-INDEX(Assumptions!$B$23:$F$23,1,AP5))*(AP6-1)/11,1)</f>
        <v>13.1</v>
      </c>
      <c r="AQ8" s="27">
        <f>ROUND(INDEX(Assumptions!$B$23:$F$23,1,AQ5)+(INDEX(Assumptions!$B$24:$F$24,1,AQ5)-INDEX(Assumptions!$B$23:$F$23,1,AQ5))*(AQ6-1)/11,1)</f>
        <v>13.5</v>
      </c>
      <c r="AR8" s="27">
        <f>ROUND(INDEX(Assumptions!$B$23:$F$23,1,AR5)+(INDEX(Assumptions!$B$24:$F$24,1,AR5)-INDEX(Assumptions!$B$23:$F$23,1,AR5))*(AR6-1)/11,1)</f>
        <v>13.8</v>
      </c>
      <c r="AS8" s="27">
        <f>ROUND(INDEX(Assumptions!$B$23:$F$23,1,AS5)+(INDEX(Assumptions!$B$24:$F$24,1,AS5)-INDEX(Assumptions!$B$23:$F$23,1,AS5))*(AS6-1)/11,1)</f>
        <v>14.2</v>
      </c>
      <c r="AT8" s="27">
        <f>ROUND(INDEX(Assumptions!$B$23:$F$23,1,AT5)+(INDEX(Assumptions!$B$24:$F$24,1,AT5)-INDEX(Assumptions!$B$23:$F$23,1,AT5))*(AT6-1)/11,1)</f>
        <v>14.5</v>
      </c>
      <c r="AU8" s="27">
        <f>ROUND(INDEX(Assumptions!$B$23:$F$23,1,AU5)+(INDEX(Assumptions!$B$24:$F$24,1,AU5)-INDEX(Assumptions!$B$23:$F$23,1,AU5))*(AU6-1)/11,1)</f>
        <v>14.9</v>
      </c>
      <c r="AV8" s="27">
        <f>ROUND(INDEX(Assumptions!$B$23:$F$23,1,AV5)+(INDEX(Assumptions!$B$24:$F$24,1,AV5)-INDEX(Assumptions!$B$23:$F$23,1,AV5))*(AV6-1)/11,1)</f>
        <v>15.3</v>
      </c>
      <c r="AW8" s="27">
        <f>ROUND(INDEX(Assumptions!$B$23:$F$23,1,AW5)+(INDEX(Assumptions!$B$24:$F$24,1,AW5)-INDEX(Assumptions!$B$23:$F$23,1,AW5))*(AW6-1)/11,1)</f>
        <v>15.6</v>
      </c>
      <c r="AX8" s="28">
        <f>ROUND(INDEX(Assumptions!$B$23:$F$23,1,AX5)+(INDEX(Assumptions!$B$24:$F$24,1,AX5)-INDEX(Assumptions!$B$23:$F$23,1,AX5))*(AX6-1)/11,1)</f>
        <v>16</v>
      </c>
      <c r="AY8" s="27">
        <f>ROUND(INDEX(Assumptions!$B$23:$F$23,1,AY5)+(INDEX(Assumptions!$B$24:$F$24,1,AY5)-INDEX(Assumptions!$B$23:$F$23,1,AY5))*(AY6-1)/11,1)</f>
        <v>15</v>
      </c>
      <c r="AZ8" s="27">
        <f>ROUND(INDEX(Assumptions!$B$23:$F$23,1,AZ5)+(INDEX(Assumptions!$B$24:$F$24,1,AZ5)-INDEX(Assumptions!$B$23:$F$23,1,AZ5))*(AZ6-1)/11,1)</f>
        <v>15.3</v>
      </c>
      <c r="BA8" s="27">
        <f>ROUND(INDEX(Assumptions!$B$23:$F$23,1,BA5)+(INDEX(Assumptions!$B$24:$F$24,1,BA5)-INDEX(Assumptions!$B$23:$F$23,1,BA5))*(BA6-1)/11,1)</f>
        <v>15.5</v>
      </c>
      <c r="BB8" s="27">
        <f>ROUND(INDEX(Assumptions!$B$23:$F$23,1,BB5)+(INDEX(Assumptions!$B$24:$F$24,1,BB5)-INDEX(Assumptions!$B$23:$F$23,1,BB5))*(BB6-1)/11,1)</f>
        <v>15.8</v>
      </c>
      <c r="BC8" s="27">
        <f>ROUND(INDEX(Assumptions!$B$23:$F$23,1,BC5)+(INDEX(Assumptions!$B$24:$F$24,1,BC5)-INDEX(Assumptions!$B$23:$F$23,1,BC5))*(BC6-1)/11,1)</f>
        <v>16.100000000000001</v>
      </c>
      <c r="BD8" s="27">
        <f>ROUND(INDEX(Assumptions!$B$23:$F$23,1,BD5)+(INDEX(Assumptions!$B$24:$F$24,1,BD5)-INDEX(Assumptions!$B$23:$F$23,1,BD5))*(BD6-1)/11,1)</f>
        <v>16.399999999999999</v>
      </c>
      <c r="BE8" s="27">
        <f>ROUND(INDEX(Assumptions!$B$23:$F$23,1,BE5)+(INDEX(Assumptions!$B$24:$F$24,1,BE5)-INDEX(Assumptions!$B$23:$F$23,1,BE5))*(BE6-1)/11,1)</f>
        <v>16.600000000000001</v>
      </c>
      <c r="BF8" s="27">
        <f>ROUND(INDEX(Assumptions!$B$23:$F$23,1,BF5)+(INDEX(Assumptions!$B$24:$F$24,1,BF5)-INDEX(Assumptions!$B$23:$F$23,1,BF5))*(BF6-1)/11,1)</f>
        <v>16.899999999999999</v>
      </c>
      <c r="BG8" s="27">
        <f>ROUND(INDEX(Assumptions!$B$23:$F$23,1,BG5)+(INDEX(Assumptions!$B$24:$F$24,1,BG5)-INDEX(Assumptions!$B$23:$F$23,1,BG5))*(BG6-1)/11,1)</f>
        <v>17.2</v>
      </c>
      <c r="BH8" s="27">
        <f>ROUND(INDEX(Assumptions!$B$23:$F$23,1,BH5)+(INDEX(Assumptions!$B$24:$F$24,1,BH5)-INDEX(Assumptions!$B$23:$F$23,1,BH5))*(BH6-1)/11,1)</f>
        <v>17.5</v>
      </c>
      <c r="BI8" s="27">
        <f>ROUND(INDEX(Assumptions!$B$23:$F$23,1,BI5)+(INDEX(Assumptions!$B$24:$F$24,1,BI5)-INDEX(Assumptions!$B$23:$F$23,1,BI5))*(BI6-1)/11,1)</f>
        <v>17.7</v>
      </c>
      <c r="BJ8" s="28">
        <f>ROUND(INDEX(Assumptions!$B$23:$F$23,1,BJ5)+(INDEX(Assumptions!$B$24:$F$24,1,BJ5)-INDEX(Assumptions!$B$23:$F$23,1,BJ5))*(BJ6-1)/11,1)</f>
        <v>18</v>
      </c>
    </row>
    <row r="9" spans="1:62" x14ac:dyDescent="0.2">
      <c r="A9" s="20" t="s">
        <v>108</v>
      </c>
      <c r="C9" s="29">
        <f>INDEX(Assumptions!$B$17:$F$17,1,C5)</f>
        <v>4.4999999999999998E-2</v>
      </c>
      <c r="D9" s="29">
        <f>INDEX(Assumptions!$B$17:$F$17,1,D5)</f>
        <v>4.4999999999999998E-2</v>
      </c>
      <c r="E9" s="29">
        <f>INDEX(Assumptions!$B$17:$F$17,1,E5)</f>
        <v>4.4999999999999998E-2</v>
      </c>
      <c r="F9" s="29">
        <f>INDEX(Assumptions!$B$17:$F$17,1,F5)</f>
        <v>4.4999999999999998E-2</v>
      </c>
      <c r="G9" s="29">
        <f>INDEX(Assumptions!$B$17:$F$17,1,G5)</f>
        <v>4.4999999999999998E-2</v>
      </c>
      <c r="H9" s="29">
        <f>INDEX(Assumptions!$B$17:$F$17,1,H5)</f>
        <v>4.4999999999999998E-2</v>
      </c>
      <c r="I9" s="29">
        <f>INDEX(Assumptions!$B$17:$F$17,1,I5)</f>
        <v>4.4999999999999998E-2</v>
      </c>
      <c r="J9" s="29">
        <f>INDEX(Assumptions!$B$17:$F$17,1,J5)</f>
        <v>4.4999999999999998E-2</v>
      </c>
      <c r="K9" s="29">
        <f>INDEX(Assumptions!$B$17:$F$17,1,K5)</f>
        <v>4.4999999999999998E-2</v>
      </c>
      <c r="L9" s="29">
        <f>INDEX(Assumptions!$B$17:$F$17,1,L5)</f>
        <v>4.4999999999999998E-2</v>
      </c>
      <c r="M9" s="29">
        <f>INDEX(Assumptions!$B$17:$F$17,1,M5)</f>
        <v>4.4999999999999998E-2</v>
      </c>
      <c r="N9" s="30">
        <f>INDEX(Assumptions!$B$17:$F$17,1,N5)</f>
        <v>4.4999999999999998E-2</v>
      </c>
      <c r="O9" s="29">
        <f>INDEX(Assumptions!$B$17:$F$17,1,O5)</f>
        <v>3.7999999999999999E-2</v>
      </c>
      <c r="P9" s="29">
        <f>INDEX(Assumptions!$B$17:$F$17,1,P5)</f>
        <v>3.7999999999999999E-2</v>
      </c>
      <c r="Q9" s="29">
        <f>INDEX(Assumptions!$B$17:$F$17,1,Q5)</f>
        <v>3.7999999999999999E-2</v>
      </c>
      <c r="R9" s="29">
        <f>INDEX(Assumptions!$B$17:$F$17,1,R5)</f>
        <v>3.7999999999999999E-2</v>
      </c>
      <c r="S9" s="29">
        <f>INDEX(Assumptions!$B$17:$F$17,1,S5)</f>
        <v>3.7999999999999999E-2</v>
      </c>
      <c r="T9" s="29">
        <f>INDEX(Assumptions!$B$17:$F$17,1,T5)</f>
        <v>3.7999999999999999E-2</v>
      </c>
      <c r="U9" s="29">
        <f>INDEX(Assumptions!$B$17:$F$17,1,U5)</f>
        <v>3.7999999999999999E-2</v>
      </c>
      <c r="V9" s="29">
        <f>INDEX(Assumptions!$B$17:$F$17,1,V5)</f>
        <v>3.7999999999999999E-2</v>
      </c>
      <c r="W9" s="29">
        <f>INDEX(Assumptions!$B$17:$F$17,1,W5)</f>
        <v>3.7999999999999999E-2</v>
      </c>
      <c r="X9" s="29">
        <f>INDEX(Assumptions!$B$17:$F$17,1,X5)</f>
        <v>3.7999999999999999E-2</v>
      </c>
      <c r="Y9" s="29">
        <f>INDEX(Assumptions!$B$17:$F$17,1,Y5)</f>
        <v>3.7999999999999999E-2</v>
      </c>
      <c r="Z9" s="30">
        <f>INDEX(Assumptions!$B$17:$F$17,1,Z5)</f>
        <v>3.7999999999999999E-2</v>
      </c>
      <c r="AA9" s="29">
        <f>INDEX(Assumptions!$B$17:$F$17,1,AA5)</f>
        <v>3.2000000000000001E-2</v>
      </c>
      <c r="AB9" s="29">
        <f>INDEX(Assumptions!$B$17:$F$17,1,AB5)</f>
        <v>3.2000000000000001E-2</v>
      </c>
      <c r="AC9" s="29">
        <f>INDEX(Assumptions!$B$17:$F$17,1,AC5)</f>
        <v>3.2000000000000001E-2</v>
      </c>
      <c r="AD9" s="29">
        <f>INDEX(Assumptions!$B$17:$F$17,1,AD5)</f>
        <v>3.2000000000000001E-2</v>
      </c>
      <c r="AE9" s="29">
        <f>INDEX(Assumptions!$B$17:$F$17,1,AE5)</f>
        <v>3.2000000000000001E-2</v>
      </c>
      <c r="AF9" s="29">
        <f>INDEX(Assumptions!$B$17:$F$17,1,AF5)</f>
        <v>3.2000000000000001E-2</v>
      </c>
      <c r="AG9" s="29">
        <f>INDEX(Assumptions!$B$17:$F$17,1,AG5)</f>
        <v>3.2000000000000001E-2</v>
      </c>
      <c r="AH9" s="29">
        <f>INDEX(Assumptions!$B$17:$F$17,1,AH5)</f>
        <v>3.2000000000000001E-2</v>
      </c>
      <c r="AI9" s="29">
        <f>INDEX(Assumptions!$B$17:$F$17,1,AI5)</f>
        <v>3.2000000000000001E-2</v>
      </c>
      <c r="AJ9" s="29">
        <f>INDEX(Assumptions!$B$17:$F$17,1,AJ5)</f>
        <v>3.2000000000000001E-2</v>
      </c>
      <c r="AK9" s="29">
        <f>INDEX(Assumptions!$B$17:$F$17,1,AK5)</f>
        <v>3.2000000000000001E-2</v>
      </c>
      <c r="AL9" s="30">
        <f>INDEX(Assumptions!$B$17:$F$17,1,AL5)</f>
        <v>3.2000000000000001E-2</v>
      </c>
      <c r="AM9" s="29">
        <f>INDEX(Assumptions!$B$17:$F$17,1,AM5)</f>
        <v>2.8000000000000001E-2</v>
      </c>
      <c r="AN9" s="29">
        <f>INDEX(Assumptions!$B$17:$F$17,1,AN5)</f>
        <v>2.8000000000000001E-2</v>
      </c>
      <c r="AO9" s="29">
        <f>INDEX(Assumptions!$B$17:$F$17,1,AO5)</f>
        <v>2.8000000000000001E-2</v>
      </c>
      <c r="AP9" s="29">
        <f>INDEX(Assumptions!$B$17:$F$17,1,AP5)</f>
        <v>2.8000000000000001E-2</v>
      </c>
      <c r="AQ9" s="29">
        <f>INDEX(Assumptions!$B$17:$F$17,1,AQ5)</f>
        <v>2.8000000000000001E-2</v>
      </c>
      <c r="AR9" s="29">
        <f>INDEX(Assumptions!$B$17:$F$17,1,AR5)</f>
        <v>2.8000000000000001E-2</v>
      </c>
      <c r="AS9" s="29">
        <f>INDEX(Assumptions!$B$17:$F$17,1,AS5)</f>
        <v>2.8000000000000001E-2</v>
      </c>
      <c r="AT9" s="29">
        <f>INDEX(Assumptions!$B$17:$F$17,1,AT5)</f>
        <v>2.8000000000000001E-2</v>
      </c>
      <c r="AU9" s="29">
        <f>INDEX(Assumptions!$B$17:$F$17,1,AU5)</f>
        <v>2.8000000000000001E-2</v>
      </c>
      <c r="AV9" s="29">
        <f>INDEX(Assumptions!$B$17:$F$17,1,AV5)</f>
        <v>2.8000000000000001E-2</v>
      </c>
      <c r="AW9" s="29">
        <f>INDEX(Assumptions!$B$17:$F$17,1,AW5)</f>
        <v>2.8000000000000001E-2</v>
      </c>
      <c r="AX9" s="30">
        <f>INDEX(Assumptions!$B$17:$F$17,1,AX5)</f>
        <v>2.8000000000000001E-2</v>
      </c>
      <c r="AY9" s="29">
        <f>INDEX(Assumptions!$B$17:$F$17,1,AY5)</f>
        <v>2.5000000000000001E-2</v>
      </c>
      <c r="AZ9" s="29">
        <f>INDEX(Assumptions!$B$17:$F$17,1,AZ5)</f>
        <v>2.5000000000000001E-2</v>
      </c>
      <c r="BA9" s="29">
        <f>INDEX(Assumptions!$B$17:$F$17,1,BA5)</f>
        <v>2.5000000000000001E-2</v>
      </c>
      <c r="BB9" s="29">
        <f>INDEX(Assumptions!$B$17:$F$17,1,BB5)</f>
        <v>2.5000000000000001E-2</v>
      </c>
      <c r="BC9" s="29">
        <f>INDEX(Assumptions!$B$17:$F$17,1,BC5)</f>
        <v>2.5000000000000001E-2</v>
      </c>
      <c r="BD9" s="29">
        <f>INDEX(Assumptions!$B$17:$F$17,1,BD5)</f>
        <v>2.5000000000000001E-2</v>
      </c>
      <c r="BE9" s="29">
        <f>INDEX(Assumptions!$B$17:$F$17,1,BE5)</f>
        <v>2.5000000000000001E-2</v>
      </c>
      <c r="BF9" s="29">
        <f>INDEX(Assumptions!$B$17:$F$17,1,BF5)</f>
        <v>2.5000000000000001E-2</v>
      </c>
      <c r="BG9" s="29">
        <f>INDEX(Assumptions!$B$17:$F$17,1,BG5)</f>
        <v>2.5000000000000001E-2</v>
      </c>
      <c r="BH9" s="29">
        <f>INDEX(Assumptions!$B$17:$F$17,1,BH5)</f>
        <v>2.5000000000000001E-2</v>
      </c>
      <c r="BI9" s="29">
        <f>INDEX(Assumptions!$B$17:$F$17,1,BI5)</f>
        <v>2.5000000000000001E-2</v>
      </c>
      <c r="BJ9" s="30">
        <f>INDEX(Assumptions!$B$17:$F$17,1,BJ5)</f>
        <v>2.5000000000000001E-2</v>
      </c>
    </row>
    <row r="10" spans="1:62" x14ac:dyDescent="0.2">
      <c r="A10" s="20" t="s">
        <v>109</v>
      </c>
      <c r="C10" s="31">
        <f>0</f>
        <v>0</v>
      </c>
      <c r="D10" s="31">
        <f t="shared" ref="D10:AI10" si="4">C11*D9</f>
        <v>4.4999999999999998E-2</v>
      </c>
      <c r="E10" s="31">
        <f t="shared" si="4"/>
        <v>0.105975</v>
      </c>
      <c r="F10" s="31">
        <f t="shared" si="4"/>
        <v>0.17770612499999999</v>
      </c>
      <c r="G10" s="31">
        <f t="shared" si="4"/>
        <v>0.26420934937500001</v>
      </c>
      <c r="H10" s="31">
        <f t="shared" si="4"/>
        <v>0.36481992865312501</v>
      </c>
      <c r="I10" s="31">
        <f t="shared" si="4"/>
        <v>0.47440303186373434</v>
      </c>
      <c r="J10" s="31">
        <f t="shared" si="4"/>
        <v>0.59705489542986634</v>
      </c>
      <c r="K10" s="31">
        <f t="shared" si="4"/>
        <v>0.72768742513552231</v>
      </c>
      <c r="L10" s="31">
        <f t="shared" si="4"/>
        <v>0.87044149100442381</v>
      </c>
      <c r="M10" s="31">
        <f t="shared" si="4"/>
        <v>1.0247716239092248</v>
      </c>
      <c r="N10" s="32">
        <f t="shared" si="4"/>
        <v>1.1856569008333095</v>
      </c>
      <c r="O10" s="31">
        <f t="shared" si="4"/>
        <v>1.1461664206942401</v>
      </c>
      <c r="P10" s="31">
        <f t="shared" si="4"/>
        <v>1.2926120967078589</v>
      </c>
      <c r="Q10" s="31">
        <f t="shared" si="4"/>
        <v>1.4486928370329604</v>
      </c>
      <c r="R10" s="31">
        <f t="shared" si="4"/>
        <v>1.610242509225708</v>
      </c>
      <c r="S10" s="31">
        <f t="shared" si="4"/>
        <v>1.7808532938751314</v>
      </c>
      <c r="T10" s="31">
        <f t="shared" si="4"/>
        <v>1.9601808687078761</v>
      </c>
      <c r="U10" s="31">
        <f t="shared" si="4"/>
        <v>2.1440939956969771</v>
      </c>
      <c r="V10" s="31">
        <f t="shared" si="4"/>
        <v>2.3362184238604917</v>
      </c>
      <c r="W10" s="31">
        <f t="shared" si="4"/>
        <v>2.5324421237537935</v>
      </c>
      <c r="X10" s="31">
        <f t="shared" si="4"/>
        <v>2.7364093230511495</v>
      </c>
      <c r="Y10" s="31">
        <f t="shared" si="4"/>
        <v>2.9478257687752056</v>
      </c>
      <c r="Z10" s="32">
        <f t="shared" si="4"/>
        <v>3.1626083895617478</v>
      </c>
      <c r="AA10" s="31">
        <f t="shared" si="4"/>
        <v>2.8500457016912852</v>
      </c>
      <c r="AB10" s="31">
        <f t="shared" si="4"/>
        <v>3.046844239237164</v>
      </c>
      <c r="AC10" s="31">
        <f t="shared" si="4"/>
        <v>3.2501452235815749</v>
      </c>
      <c r="AD10" s="31">
        <f t="shared" si="4"/>
        <v>3.4565405764269648</v>
      </c>
      <c r="AE10" s="31">
        <f t="shared" si="4"/>
        <v>3.6691312779813021</v>
      </c>
      <c r="AF10" s="31">
        <f t="shared" si="4"/>
        <v>3.8877190770859</v>
      </c>
      <c r="AG10" s="31">
        <f t="shared" si="4"/>
        <v>4.1089120666191512</v>
      </c>
      <c r="AH10" s="31">
        <f t="shared" si="4"/>
        <v>4.3358268804873381</v>
      </c>
      <c r="AI10" s="31">
        <f t="shared" si="4"/>
        <v>4.5650804203117437</v>
      </c>
      <c r="AJ10" s="31">
        <f t="shared" ref="AJ10:BO10" si="5">AI11*AJ9</f>
        <v>4.7997978468617672</v>
      </c>
      <c r="AK10" s="31">
        <f t="shared" si="5"/>
        <v>5.0398043157621917</v>
      </c>
      <c r="AL10" s="32">
        <f t="shared" si="5"/>
        <v>5.2817305776578012</v>
      </c>
      <c r="AM10" s="31">
        <f t="shared" si="5"/>
        <v>4.8376257992761573</v>
      </c>
      <c r="AN10" s="31">
        <f t="shared" si="5"/>
        <v>5.0381722768964252</v>
      </c>
      <c r="AO10" s="31">
        <f t="shared" si="5"/>
        <v>5.244303453143325</v>
      </c>
      <c r="AP10" s="31">
        <f t="shared" si="5"/>
        <v>5.4530629564553115</v>
      </c>
      <c r="AQ10" s="31">
        <f t="shared" si="5"/>
        <v>5.6671771936745632</v>
      </c>
      <c r="AR10" s="31">
        <f t="shared" si="5"/>
        <v>5.886496232251675</v>
      </c>
      <c r="AS10" s="31">
        <f t="shared" si="5"/>
        <v>6.1080743377486275</v>
      </c>
      <c r="AT10" s="31">
        <f t="shared" si="5"/>
        <v>6.3346482562916657</v>
      </c>
      <c r="AU10" s="31">
        <f t="shared" si="5"/>
        <v>6.5632781051154989</v>
      </c>
      <c r="AV10" s="31">
        <f t="shared" si="5"/>
        <v>6.7967063181722649</v>
      </c>
      <c r="AW10" s="31">
        <f t="shared" si="5"/>
        <v>7.0347985412634415</v>
      </c>
      <c r="AX10" s="32">
        <f t="shared" si="5"/>
        <v>7.2746241821080657</v>
      </c>
      <c r="AY10" s="31">
        <f t="shared" si="5"/>
        <v>6.7133345580437851</v>
      </c>
      <c r="AZ10" s="31">
        <f t="shared" si="5"/>
        <v>6.9205011940926902</v>
      </c>
      <c r="BA10" s="31">
        <f t="shared" si="5"/>
        <v>7.129988664240372</v>
      </c>
      <c r="BB10" s="31">
        <f t="shared" si="5"/>
        <v>7.3392389476343629</v>
      </c>
      <c r="BC10" s="31">
        <f t="shared" si="5"/>
        <v>7.5507579739435036</v>
      </c>
      <c r="BD10" s="31">
        <f t="shared" si="5"/>
        <v>7.7644890245949156</v>
      </c>
      <c r="BE10" s="31">
        <f t="shared" si="5"/>
        <v>7.9803767989800427</v>
      </c>
      <c r="BF10" s="31">
        <f t="shared" si="5"/>
        <v>8.1958673790055414</v>
      </c>
      <c r="BG10" s="31">
        <f t="shared" si="5"/>
        <v>8.4134706945304014</v>
      </c>
      <c r="BH10" s="31">
        <f t="shared" si="5"/>
        <v>8.6331339271671421</v>
      </c>
      <c r="BI10" s="31">
        <f t="shared" si="5"/>
        <v>8.8548055789879623</v>
      </c>
      <c r="BJ10" s="32">
        <f t="shared" si="5"/>
        <v>9.0759354395132643</v>
      </c>
    </row>
    <row r="11" spans="1:62" x14ac:dyDescent="0.2">
      <c r="A11" s="20" t="s">
        <v>110</v>
      </c>
      <c r="C11" s="31">
        <f>C8-C10</f>
        <v>1</v>
      </c>
      <c r="D11" s="31">
        <f t="shared" ref="D11:AI11" si="6">C11+D8-D10</f>
        <v>2.355</v>
      </c>
      <c r="E11" s="31">
        <f t="shared" si="6"/>
        <v>3.9490249999999998</v>
      </c>
      <c r="F11" s="31">
        <f t="shared" si="6"/>
        <v>5.871318875</v>
      </c>
      <c r="G11" s="31">
        <f t="shared" si="6"/>
        <v>8.1071095256250008</v>
      </c>
      <c r="H11" s="31">
        <f t="shared" si="6"/>
        <v>10.542289596971875</v>
      </c>
      <c r="I11" s="31">
        <f t="shared" si="6"/>
        <v>13.267886565108142</v>
      </c>
      <c r="J11" s="31">
        <f t="shared" si="6"/>
        <v>16.170831669678275</v>
      </c>
      <c r="K11" s="31">
        <f t="shared" si="6"/>
        <v>19.343144244542753</v>
      </c>
      <c r="L11" s="31">
        <f t="shared" si="6"/>
        <v>22.772702753538329</v>
      </c>
      <c r="M11" s="31">
        <f t="shared" si="6"/>
        <v>26.347931129629103</v>
      </c>
      <c r="N11" s="32">
        <f t="shared" si="6"/>
        <v>30.162274228795795</v>
      </c>
      <c r="O11" s="31">
        <f t="shared" si="6"/>
        <v>34.016107808101552</v>
      </c>
      <c r="P11" s="31">
        <f t="shared" si="6"/>
        <v>38.123495711393694</v>
      </c>
      <c r="Q11" s="31">
        <f t="shared" si="6"/>
        <v>42.374802874360739</v>
      </c>
      <c r="R11" s="31">
        <f t="shared" si="6"/>
        <v>46.864560365135034</v>
      </c>
      <c r="S11" s="31">
        <f t="shared" si="6"/>
        <v>51.583707071259902</v>
      </c>
      <c r="T11" s="31">
        <f t="shared" si="6"/>
        <v>56.423526202552026</v>
      </c>
      <c r="U11" s="31">
        <f t="shared" si="6"/>
        <v>61.479432206855051</v>
      </c>
      <c r="V11" s="31">
        <f t="shared" si="6"/>
        <v>66.643213782994565</v>
      </c>
      <c r="W11" s="31">
        <f t="shared" si="6"/>
        <v>72.010771659240774</v>
      </c>
      <c r="X11" s="31">
        <f t="shared" si="6"/>
        <v>77.574362336189623</v>
      </c>
      <c r="Y11" s="31">
        <f t="shared" si="6"/>
        <v>83.226536567414414</v>
      </c>
      <c r="Z11" s="32">
        <f t="shared" si="6"/>
        <v>89.063928177852659</v>
      </c>
      <c r="AA11" s="31">
        <f t="shared" si="6"/>
        <v>95.213882476161373</v>
      </c>
      <c r="AB11" s="31">
        <f t="shared" si="6"/>
        <v>101.56703823692422</v>
      </c>
      <c r="AC11" s="31">
        <f t="shared" si="6"/>
        <v>108.01689301334265</v>
      </c>
      <c r="AD11" s="31">
        <f t="shared" si="6"/>
        <v>114.66035243691569</v>
      </c>
      <c r="AE11" s="31">
        <f t="shared" si="6"/>
        <v>121.49122115893438</v>
      </c>
      <c r="AF11" s="31">
        <f t="shared" si="6"/>
        <v>128.40350208184847</v>
      </c>
      <c r="AG11" s="31">
        <f t="shared" si="6"/>
        <v>135.49459001522931</v>
      </c>
      <c r="AH11" s="31">
        <f t="shared" si="6"/>
        <v>142.65876313474197</v>
      </c>
      <c r="AI11" s="31">
        <f t="shared" si="6"/>
        <v>149.99368271443024</v>
      </c>
      <c r="AJ11" s="31">
        <f t="shared" ref="AJ11:BO11" si="7">AI11+AJ8-AJ10</f>
        <v>157.49388486756848</v>
      </c>
      <c r="AK11" s="31">
        <f t="shared" si="7"/>
        <v>165.05408055180629</v>
      </c>
      <c r="AL11" s="32">
        <f t="shared" si="7"/>
        <v>172.77234997414848</v>
      </c>
      <c r="AM11" s="31">
        <f t="shared" si="7"/>
        <v>179.93472417487231</v>
      </c>
      <c r="AN11" s="31">
        <f t="shared" si="7"/>
        <v>187.29655189797589</v>
      </c>
      <c r="AO11" s="31">
        <f t="shared" si="7"/>
        <v>194.75224844483256</v>
      </c>
      <c r="AP11" s="31">
        <f t="shared" si="7"/>
        <v>202.39918548837724</v>
      </c>
      <c r="AQ11" s="31">
        <f t="shared" si="7"/>
        <v>210.23200829470267</v>
      </c>
      <c r="AR11" s="31">
        <f t="shared" si="7"/>
        <v>218.14551206245099</v>
      </c>
      <c r="AS11" s="31">
        <f t="shared" si="7"/>
        <v>226.23743772470235</v>
      </c>
      <c r="AT11" s="31">
        <f t="shared" si="7"/>
        <v>234.40278946841067</v>
      </c>
      <c r="AU11" s="31">
        <f t="shared" si="7"/>
        <v>242.73951136329518</v>
      </c>
      <c r="AV11" s="31">
        <f t="shared" si="7"/>
        <v>251.24280504512291</v>
      </c>
      <c r="AW11" s="31">
        <f t="shared" si="7"/>
        <v>259.80800650385947</v>
      </c>
      <c r="AX11" s="32">
        <f t="shared" si="7"/>
        <v>268.53338232175139</v>
      </c>
      <c r="AY11" s="31">
        <f t="shared" si="7"/>
        <v>276.82004776370758</v>
      </c>
      <c r="AZ11" s="31">
        <f t="shared" si="7"/>
        <v>285.19954656961488</v>
      </c>
      <c r="BA11" s="31">
        <f t="shared" si="7"/>
        <v>293.5695579053745</v>
      </c>
      <c r="BB11" s="31">
        <f t="shared" si="7"/>
        <v>302.03031895774012</v>
      </c>
      <c r="BC11" s="31">
        <f t="shared" si="7"/>
        <v>310.57956098379663</v>
      </c>
      <c r="BD11" s="31">
        <f t="shared" si="7"/>
        <v>319.21507195920168</v>
      </c>
      <c r="BE11" s="31">
        <f t="shared" si="7"/>
        <v>327.83469516022166</v>
      </c>
      <c r="BF11" s="31">
        <f t="shared" si="7"/>
        <v>336.53882778121607</v>
      </c>
      <c r="BG11" s="31">
        <f t="shared" si="7"/>
        <v>345.32535708668564</v>
      </c>
      <c r="BH11" s="31">
        <f t="shared" si="7"/>
        <v>354.19222315951851</v>
      </c>
      <c r="BI11" s="31">
        <f t="shared" si="7"/>
        <v>363.03741758053053</v>
      </c>
      <c r="BJ11" s="32">
        <f t="shared" si="7"/>
        <v>371.96148214101726</v>
      </c>
    </row>
    <row r="12" spans="1:62" x14ac:dyDescent="0.2">
      <c r="N12" s="26"/>
      <c r="Z12" s="26"/>
      <c r="AL12" s="26"/>
      <c r="AX12" s="26"/>
      <c r="BJ12" s="26"/>
    </row>
    <row r="13" spans="1:62" x14ac:dyDescent="0.2">
      <c r="A13" s="20" t="s">
        <v>111</v>
      </c>
      <c r="C13" s="33">
        <f>C11*Assumptions!$B$5</f>
        <v>200</v>
      </c>
      <c r="D13" s="33">
        <f>D11*Assumptions!$B$5</f>
        <v>471</v>
      </c>
      <c r="E13" s="33">
        <f>E11*Assumptions!$B$5</f>
        <v>789.80499999999995</v>
      </c>
      <c r="F13" s="33">
        <f>F11*Assumptions!$B$5</f>
        <v>1174.2637749999999</v>
      </c>
      <c r="G13" s="33">
        <f>G11*Assumptions!$B$5</f>
        <v>1621.4219051250002</v>
      </c>
      <c r="H13" s="33">
        <f>H11*Assumptions!$B$5</f>
        <v>2108.457919394375</v>
      </c>
      <c r="I13" s="33">
        <f>I11*Assumptions!$B$5</f>
        <v>2653.5773130216285</v>
      </c>
      <c r="J13" s="33">
        <f>J11*Assumptions!$B$5</f>
        <v>3234.1663339356551</v>
      </c>
      <c r="K13" s="33">
        <f>K11*Assumptions!$B$5</f>
        <v>3868.6288489085505</v>
      </c>
      <c r="L13" s="33">
        <f>L11*Assumptions!$B$5</f>
        <v>4554.5405507076657</v>
      </c>
      <c r="M13" s="33">
        <f>M11*Assumptions!$B$5</f>
        <v>5269.5862259258211</v>
      </c>
      <c r="N13" s="34">
        <f>N11*Assumptions!$B$5</f>
        <v>6032.4548457591591</v>
      </c>
      <c r="O13" s="33">
        <f>O11*Assumptions!$B$5</f>
        <v>6803.2215616203102</v>
      </c>
      <c r="P13" s="33">
        <f>P11*Assumptions!$B$5</f>
        <v>7624.6991422787387</v>
      </c>
      <c r="Q13" s="33">
        <f>Q11*Assumptions!$B$5</f>
        <v>8474.9605748721478</v>
      </c>
      <c r="R13" s="33">
        <f>R11*Assumptions!$B$5</f>
        <v>9372.912073027006</v>
      </c>
      <c r="S13" s="33">
        <f>S11*Assumptions!$B$5</f>
        <v>10316.741414251981</v>
      </c>
      <c r="T13" s="33">
        <f>T11*Assumptions!$B$5</f>
        <v>11284.705240510406</v>
      </c>
      <c r="U13" s="33">
        <f>U11*Assumptions!$B$5</f>
        <v>12295.886441371011</v>
      </c>
      <c r="V13" s="33">
        <f>V11*Assumptions!$B$5</f>
        <v>13328.642756598912</v>
      </c>
      <c r="W13" s="33">
        <f>W11*Assumptions!$B$5</f>
        <v>14402.154331848154</v>
      </c>
      <c r="X13" s="33">
        <f>X11*Assumptions!$B$5</f>
        <v>15514.872467237925</v>
      </c>
      <c r="Y13" s="33">
        <f>Y11*Assumptions!$B$5</f>
        <v>16645.307313482881</v>
      </c>
      <c r="Z13" s="34">
        <f>Z11*Assumptions!$B$5</f>
        <v>17812.785635570533</v>
      </c>
      <c r="AA13" s="33">
        <f>AA11*Assumptions!$B$5</f>
        <v>19042.776495232276</v>
      </c>
      <c r="AB13" s="33">
        <f>AB11*Assumptions!$B$5</f>
        <v>20313.407647384844</v>
      </c>
      <c r="AC13" s="33">
        <f>AC11*Assumptions!$B$5</f>
        <v>21603.37860266853</v>
      </c>
      <c r="AD13" s="33">
        <f>AD11*Assumptions!$B$5</f>
        <v>22932.070487383138</v>
      </c>
      <c r="AE13" s="33">
        <f>AE11*Assumptions!$B$5</f>
        <v>24298.244231786877</v>
      </c>
      <c r="AF13" s="33">
        <f>AF11*Assumptions!$B$5</f>
        <v>25680.700416369695</v>
      </c>
      <c r="AG13" s="33">
        <f>AG11*Assumptions!$B$5</f>
        <v>27098.918003045863</v>
      </c>
      <c r="AH13" s="33">
        <f>AH11*Assumptions!$B$5</f>
        <v>28531.752626948393</v>
      </c>
      <c r="AI13" s="33">
        <f>AI11*Assumptions!$B$5</f>
        <v>29998.736542886047</v>
      </c>
      <c r="AJ13" s="33">
        <f>AJ11*Assumptions!$B$5</f>
        <v>31498.776973513697</v>
      </c>
      <c r="AK13" s="33">
        <f>AK11*Assumptions!$B$5</f>
        <v>33010.816110361258</v>
      </c>
      <c r="AL13" s="34">
        <f>AL11*Assumptions!$B$5</f>
        <v>34554.469994829698</v>
      </c>
      <c r="AM13" s="33">
        <f>AM11*Assumptions!$B$5</f>
        <v>35986.944834974463</v>
      </c>
      <c r="AN13" s="33">
        <f>AN11*Assumptions!$B$5</f>
        <v>37459.310379595176</v>
      </c>
      <c r="AO13" s="33">
        <f>AO11*Assumptions!$B$5</f>
        <v>38950.44968896651</v>
      </c>
      <c r="AP13" s="33">
        <f>AP11*Assumptions!$B$5</f>
        <v>40479.837097675445</v>
      </c>
      <c r="AQ13" s="33">
        <f>AQ11*Assumptions!$B$5</f>
        <v>42046.401658940536</v>
      </c>
      <c r="AR13" s="33">
        <f>AR11*Assumptions!$B$5</f>
        <v>43629.102412490196</v>
      </c>
      <c r="AS13" s="33">
        <f>AS11*Assumptions!$B$5</f>
        <v>45247.487544940472</v>
      </c>
      <c r="AT13" s="33">
        <f>AT11*Assumptions!$B$5</f>
        <v>46880.557893682133</v>
      </c>
      <c r="AU13" s="33">
        <f>AU11*Assumptions!$B$5</f>
        <v>48547.902272659034</v>
      </c>
      <c r="AV13" s="33">
        <f>AV11*Assumptions!$B$5</f>
        <v>50248.561009024583</v>
      </c>
      <c r="AW13" s="33">
        <f>AW11*Assumptions!$B$5</f>
        <v>51961.601300771894</v>
      </c>
      <c r="AX13" s="34">
        <f>AX11*Assumptions!$B$5</f>
        <v>53706.676464350276</v>
      </c>
      <c r="AY13" s="33">
        <f>AY11*Assumptions!$B$5</f>
        <v>55364.009552741518</v>
      </c>
      <c r="AZ13" s="33">
        <f>AZ11*Assumptions!$B$5</f>
        <v>57039.909313922974</v>
      </c>
      <c r="BA13" s="33">
        <f>BA11*Assumptions!$B$5</f>
        <v>58713.911581074899</v>
      </c>
      <c r="BB13" s="33">
        <f>BB11*Assumptions!$B$5</f>
        <v>60406.063791548026</v>
      </c>
      <c r="BC13" s="33">
        <f>BC11*Assumptions!$B$5</f>
        <v>62115.912196759324</v>
      </c>
      <c r="BD13" s="33">
        <f>BD11*Assumptions!$B$5</f>
        <v>63843.014391840334</v>
      </c>
      <c r="BE13" s="33">
        <f>BE11*Assumptions!$B$5</f>
        <v>65566.939032044334</v>
      </c>
      <c r="BF13" s="33">
        <f>BF11*Assumptions!$B$5</f>
        <v>67307.765556243219</v>
      </c>
      <c r="BG13" s="33">
        <f>BG11*Assumptions!$B$5</f>
        <v>69065.071417337123</v>
      </c>
      <c r="BH13" s="33">
        <f>BH11*Assumptions!$B$5</f>
        <v>70838.444631903694</v>
      </c>
      <c r="BI13" s="33">
        <f>BI11*Assumptions!$B$5</f>
        <v>72607.483516106106</v>
      </c>
      <c r="BJ13" s="34">
        <f>BJ11*Assumptions!$B$5</f>
        <v>74392.296428203452</v>
      </c>
    </row>
    <row r="14" spans="1:62" x14ac:dyDescent="0.2">
      <c r="A14" s="20" t="s">
        <v>112</v>
      </c>
      <c r="C14" s="33">
        <f t="shared" ref="C14:AH14" si="8">C13*12</f>
        <v>2400</v>
      </c>
      <c r="D14" s="33">
        <f t="shared" si="8"/>
        <v>5652</v>
      </c>
      <c r="E14" s="33">
        <f t="shared" si="8"/>
        <v>9477.66</v>
      </c>
      <c r="F14" s="33">
        <f t="shared" si="8"/>
        <v>14091.165299999999</v>
      </c>
      <c r="G14" s="33">
        <f t="shared" si="8"/>
        <v>19457.062861500002</v>
      </c>
      <c r="H14" s="33">
        <f t="shared" si="8"/>
        <v>25301.495032732499</v>
      </c>
      <c r="I14" s="33">
        <f t="shared" si="8"/>
        <v>31842.927756259542</v>
      </c>
      <c r="J14" s="33">
        <f t="shared" si="8"/>
        <v>38809.996007227863</v>
      </c>
      <c r="K14" s="33">
        <f t="shared" si="8"/>
        <v>46423.546186902604</v>
      </c>
      <c r="L14" s="33">
        <f t="shared" si="8"/>
        <v>54654.486608491992</v>
      </c>
      <c r="M14" s="33">
        <f t="shared" si="8"/>
        <v>63235.034711109853</v>
      </c>
      <c r="N14" s="34">
        <f t="shared" si="8"/>
        <v>72389.458149109909</v>
      </c>
      <c r="O14" s="33">
        <f t="shared" si="8"/>
        <v>81638.658739443723</v>
      </c>
      <c r="P14" s="33">
        <f t="shared" si="8"/>
        <v>91496.389707344861</v>
      </c>
      <c r="Q14" s="33">
        <f t="shared" si="8"/>
        <v>101699.52689846577</v>
      </c>
      <c r="R14" s="33">
        <f t="shared" si="8"/>
        <v>112474.94487632407</v>
      </c>
      <c r="S14" s="33">
        <f t="shared" si="8"/>
        <v>123800.89697102377</v>
      </c>
      <c r="T14" s="33">
        <f t="shared" si="8"/>
        <v>135416.46288612488</v>
      </c>
      <c r="U14" s="33">
        <f t="shared" si="8"/>
        <v>147550.63729645213</v>
      </c>
      <c r="V14" s="33">
        <f t="shared" si="8"/>
        <v>159943.71307918694</v>
      </c>
      <c r="W14" s="33">
        <f t="shared" si="8"/>
        <v>172825.85198217785</v>
      </c>
      <c r="X14" s="33">
        <f t="shared" si="8"/>
        <v>186178.4696068551</v>
      </c>
      <c r="Y14" s="33">
        <f t="shared" si="8"/>
        <v>199743.68776179457</v>
      </c>
      <c r="Z14" s="34">
        <f t="shared" si="8"/>
        <v>213753.42762684642</v>
      </c>
      <c r="AA14" s="33">
        <f t="shared" si="8"/>
        <v>228513.31794278731</v>
      </c>
      <c r="AB14" s="33">
        <f t="shared" si="8"/>
        <v>243760.89176861814</v>
      </c>
      <c r="AC14" s="33">
        <f t="shared" si="8"/>
        <v>259240.54323202238</v>
      </c>
      <c r="AD14" s="33">
        <f t="shared" si="8"/>
        <v>275184.84584859764</v>
      </c>
      <c r="AE14" s="33">
        <f t="shared" si="8"/>
        <v>291578.93078144256</v>
      </c>
      <c r="AF14" s="33">
        <f t="shared" si="8"/>
        <v>308168.40499643632</v>
      </c>
      <c r="AG14" s="33">
        <f t="shared" si="8"/>
        <v>325187.01603655034</v>
      </c>
      <c r="AH14" s="33">
        <f t="shared" si="8"/>
        <v>342381.03152338072</v>
      </c>
      <c r="AI14" s="33">
        <f t="shared" ref="AI14:BN14" si="9">AI13*12</f>
        <v>359984.83851463255</v>
      </c>
      <c r="AJ14" s="33">
        <f t="shared" si="9"/>
        <v>377985.32368216437</v>
      </c>
      <c r="AK14" s="33">
        <f t="shared" si="9"/>
        <v>396129.79332433513</v>
      </c>
      <c r="AL14" s="34">
        <f t="shared" si="9"/>
        <v>414653.63993795635</v>
      </c>
      <c r="AM14" s="33">
        <f t="shared" si="9"/>
        <v>431843.33801969356</v>
      </c>
      <c r="AN14" s="33">
        <f t="shared" si="9"/>
        <v>449511.72455514211</v>
      </c>
      <c r="AO14" s="33">
        <f t="shared" si="9"/>
        <v>467405.39626759815</v>
      </c>
      <c r="AP14" s="33">
        <f t="shared" si="9"/>
        <v>485758.04517210531</v>
      </c>
      <c r="AQ14" s="33">
        <f t="shared" si="9"/>
        <v>504556.81990728644</v>
      </c>
      <c r="AR14" s="33">
        <f t="shared" si="9"/>
        <v>523549.22894988232</v>
      </c>
      <c r="AS14" s="33">
        <f t="shared" si="9"/>
        <v>542969.85053928569</v>
      </c>
      <c r="AT14" s="33">
        <f t="shared" si="9"/>
        <v>562566.69472418563</v>
      </c>
      <c r="AU14" s="33">
        <f t="shared" si="9"/>
        <v>582574.82727190841</v>
      </c>
      <c r="AV14" s="33">
        <f t="shared" si="9"/>
        <v>602982.73210829496</v>
      </c>
      <c r="AW14" s="33">
        <f t="shared" si="9"/>
        <v>623539.2156092627</v>
      </c>
      <c r="AX14" s="34">
        <f t="shared" si="9"/>
        <v>644480.11757220328</v>
      </c>
      <c r="AY14" s="33">
        <f t="shared" si="9"/>
        <v>664368.11463289824</v>
      </c>
      <c r="AZ14" s="33">
        <f t="shared" si="9"/>
        <v>684478.91176707565</v>
      </c>
      <c r="BA14" s="33">
        <f t="shared" si="9"/>
        <v>704566.93897289876</v>
      </c>
      <c r="BB14" s="33">
        <f t="shared" si="9"/>
        <v>724872.76549857634</v>
      </c>
      <c r="BC14" s="33">
        <f t="shared" si="9"/>
        <v>745390.94636111194</v>
      </c>
      <c r="BD14" s="33">
        <f t="shared" si="9"/>
        <v>766116.17270208406</v>
      </c>
      <c r="BE14" s="33">
        <f t="shared" si="9"/>
        <v>786803.26838453207</v>
      </c>
      <c r="BF14" s="33">
        <f t="shared" si="9"/>
        <v>807693.18667491863</v>
      </c>
      <c r="BG14" s="33">
        <f t="shared" si="9"/>
        <v>828780.85700804554</v>
      </c>
      <c r="BH14" s="33">
        <f t="shared" si="9"/>
        <v>850061.33558284433</v>
      </c>
      <c r="BI14" s="33">
        <f t="shared" si="9"/>
        <v>871289.80219327332</v>
      </c>
      <c r="BJ14" s="34">
        <f t="shared" si="9"/>
        <v>892707.55713844136</v>
      </c>
    </row>
    <row r="15" spans="1:62" x14ac:dyDescent="0.2">
      <c r="N15" s="26"/>
      <c r="Z15" s="26"/>
      <c r="AL15" s="26"/>
      <c r="AX15" s="26"/>
      <c r="BJ15" s="26"/>
    </row>
    <row r="16" spans="1:62" x14ac:dyDescent="0.2">
      <c r="A16" s="20" t="s">
        <v>113</v>
      </c>
      <c r="C16" s="33">
        <f>C11*Assumptions!$B$30</f>
        <v>20</v>
      </c>
      <c r="D16" s="33">
        <f>D11*Assumptions!$B$30</f>
        <v>47.1</v>
      </c>
      <c r="E16" s="33">
        <f>E11*Assumptions!$B$30</f>
        <v>78.980499999999992</v>
      </c>
      <c r="F16" s="33">
        <f>F11*Assumptions!$B$30</f>
        <v>117.4263775</v>
      </c>
      <c r="G16" s="33">
        <f>G11*Assumptions!$B$30</f>
        <v>162.14219051250001</v>
      </c>
      <c r="H16" s="33">
        <f>H11*Assumptions!$B$30</f>
        <v>210.8457919394375</v>
      </c>
      <c r="I16" s="33">
        <f>I11*Assumptions!$B$30</f>
        <v>265.35773130216285</v>
      </c>
      <c r="J16" s="33">
        <f>J11*Assumptions!$B$30</f>
        <v>323.41663339356552</v>
      </c>
      <c r="K16" s="33">
        <f>K11*Assumptions!$B$30</f>
        <v>386.86288489085507</v>
      </c>
      <c r="L16" s="33">
        <f>L11*Assumptions!$B$30</f>
        <v>455.45405507076657</v>
      </c>
      <c r="M16" s="33">
        <f>M11*Assumptions!$B$30</f>
        <v>526.95862259258206</v>
      </c>
      <c r="N16" s="34">
        <f>N11*Assumptions!$B$30</f>
        <v>603.24548457591595</v>
      </c>
      <c r="O16" s="33">
        <f>O11*Assumptions!$B$30</f>
        <v>680.32215616203098</v>
      </c>
      <c r="P16" s="33">
        <f>P11*Assumptions!$B$30</f>
        <v>762.46991422787391</v>
      </c>
      <c r="Q16" s="33">
        <f>Q11*Assumptions!$B$30</f>
        <v>847.49605748721478</v>
      </c>
      <c r="R16" s="33">
        <f>R11*Assumptions!$B$30</f>
        <v>937.29120730270074</v>
      </c>
      <c r="S16" s="33">
        <f>S11*Assumptions!$B$30</f>
        <v>1031.6741414251981</v>
      </c>
      <c r="T16" s="33">
        <f>T11*Assumptions!$B$30</f>
        <v>1128.4705240510405</v>
      </c>
      <c r="U16" s="33">
        <f>U11*Assumptions!$B$30</f>
        <v>1229.588644137101</v>
      </c>
      <c r="V16" s="33">
        <f>V11*Assumptions!$B$30</f>
        <v>1332.8642756598913</v>
      </c>
      <c r="W16" s="33">
        <f>W11*Assumptions!$B$30</f>
        <v>1440.2154331848155</v>
      </c>
      <c r="X16" s="33">
        <f>X11*Assumptions!$B$30</f>
        <v>1551.4872467237924</v>
      </c>
      <c r="Y16" s="33">
        <f>Y11*Assumptions!$B$30</f>
        <v>1664.5307313482883</v>
      </c>
      <c r="Z16" s="34">
        <f>Z11*Assumptions!$B$30</f>
        <v>1781.2785635570531</v>
      </c>
      <c r="AA16" s="33">
        <f>AA11*Assumptions!$B$30</f>
        <v>1904.2776495232274</v>
      </c>
      <c r="AB16" s="33">
        <f>AB11*Assumptions!$B$30</f>
        <v>2031.3407647384843</v>
      </c>
      <c r="AC16" s="33">
        <f>AC11*Assumptions!$B$30</f>
        <v>2160.3378602668531</v>
      </c>
      <c r="AD16" s="33">
        <f>AD11*Assumptions!$B$30</f>
        <v>2293.2070487383139</v>
      </c>
      <c r="AE16" s="33">
        <f>AE11*Assumptions!$B$30</f>
        <v>2429.8244231786875</v>
      </c>
      <c r="AF16" s="33">
        <f>AF11*Assumptions!$B$30</f>
        <v>2568.0700416369696</v>
      </c>
      <c r="AG16" s="33">
        <f>AG11*Assumptions!$B$30</f>
        <v>2709.891800304586</v>
      </c>
      <c r="AH16" s="33">
        <f>AH11*Assumptions!$B$30</f>
        <v>2853.1752626948396</v>
      </c>
      <c r="AI16" s="33">
        <f>AI11*Assumptions!$B$30</f>
        <v>2999.8736542886045</v>
      </c>
      <c r="AJ16" s="33">
        <f>AJ11*Assumptions!$B$30</f>
        <v>3149.8776973513695</v>
      </c>
      <c r="AK16" s="33">
        <f>AK11*Assumptions!$B$30</f>
        <v>3301.0816110361257</v>
      </c>
      <c r="AL16" s="34">
        <f>AL11*Assumptions!$B$30</f>
        <v>3455.4469994829697</v>
      </c>
      <c r="AM16" s="33">
        <f>AM11*Assumptions!$B$30</f>
        <v>3598.6944834974465</v>
      </c>
      <c r="AN16" s="33">
        <f>AN11*Assumptions!$B$30</f>
        <v>3745.9310379595177</v>
      </c>
      <c r="AO16" s="33">
        <f>AO11*Assumptions!$B$30</f>
        <v>3895.044968896651</v>
      </c>
      <c r="AP16" s="33">
        <f>AP11*Assumptions!$B$30</f>
        <v>4047.983709767545</v>
      </c>
      <c r="AQ16" s="33">
        <f>AQ11*Assumptions!$B$30</f>
        <v>4204.6401658940531</v>
      </c>
      <c r="AR16" s="33">
        <f>AR11*Assumptions!$B$30</f>
        <v>4362.9102412490201</v>
      </c>
      <c r="AS16" s="33">
        <f>AS11*Assumptions!$B$30</f>
        <v>4524.7487544940468</v>
      </c>
      <c r="AT16" s="33">
        <f>AT11*Assumptions!$B$30</f>
        <v>4688.0557893682135</v>
      </c>
      <c r="AU16" s="33">
        <f>AU11*Assumptions!$B$30</f>
        <v>4854.7902272659039</v>
      </c>
      <c r="AV16" s="33">
        <f>AV11*Assumptions!$B$30</f>
        <v>5024.8561009024579</v>
      </c>
      <c r="AW16" s="33">
        <f>AW11*Assumptions!$B$30</f>
        <v>5196.160130077189</v>
      </c>
      <c r="AX16" s="34">
        <f>AX11*Assumptions!$B$30</f>
        <v>5370.6676464350276</v>
      </c>
      <c r="AY16" s="33">
        <f>AY11*Assumptions!$B$30</f>
        <v>5536.4009552741518</v>
      </c>
      <c r="AZ16" s="33">
        <f>AZ11*Assumptions!$B$30</f>
        <v>5703.9909313922981</v>
      </c>
      <c r="BA16" s="33">
        <f>BA11*Assumptions!$B$30</f>
        <v>5871.3911581074899</v>
      </c>
      <c r="BB16" s="33">
        <f>BB11*Assumptions!$B$30</f>
        <v>6040.6063791548022</v>
      </c>
      <c r="BC16" s="33">
        <f>BC11*Assumptions!$B$30</f>
        <v>6211.5912196759327</v>
      </c>
      <c r="BD16" s="33">
        <f>BD11*Assumptions!$B$30</f>
        <v>6384.3014391840334</v>
      </c>
      <c r="BE16" s="33">
        <f>BE11*Assumptions!$B$30</f>
        <v>6556.6939032044329</v>
      </c>
      <c r="BF16" s="33">
        <f>BF11*Assumptions!$B$30</f>
        <v>6730.7765556243212</v>
      </c>
      <c r="BG16" s="33">
        <f>BG11*Assumptions!$B$30</f>
        <v>6906.5071417337131</v>
      </c>
      <c r="BH16" s="33">
        <f>BH11*Assumptions!$B$30</f>
        <v>7083.8444631903703</v>
      </c>
      <c r="BI16" s="33">
        <f>BI11*Assumptions!$B$30</f>
        <v>7260.7483516106104</v>
      </c>
      <c r="BJ16" s="34">
        <f>BJ11*Assumptions!$B$30</f>
        <v>7439.2296428203454</v>
      </c>
    </row>
    <row r="17" spans="1:62" x14ac:dyDescent="0.2">
      <c r="A17" s="20" t="s">
        <v>114</v>
      </c>
      <c r="C17" s="33">
        <f t="shared" ref="C17:AH17" si="10">C13-C16</f>
        <v>180</v>
      </c>
      <c r="D17" s="33">
        <f t="shared" si="10"/>
        <v>423.9</v>
      </c>
      <c r="E17" s="33">
        <f t="shared" si="10"/>
        <v>710.82449999999994</v>
      </c>
      <c r="F17" s="33">
        <f t="shared" si="10"/>
        <v>1056.8373975</v>
      </c>
      <c r="G17" s="33">
        <f t="shared" si="10"/>
        <v>1459.2797146125001</v>
      </c>
      <c r="H17" s="33">
        <f t="shared" si="10"/>
        <v>1897.6121274549375</v>
      </c>
      <c r="I17" s="33">
        <f t="shared" si="10"/>
        <v>2388.2195817194656</v>
      </c>
      <c r="J17" s="33">
        <f t="shared" si="10"/>
        <v>2910.7497005420896</v>
      </c>
      <c r="K17" s="33">
        <f t="shared" si="10"/>
        <v>3481.7659640176953</v>
      </c>
      <c r="L17" s="33">
        <f t="shared" si="10"/>
        <v>4099.0864956368987</v>
      </c>
      <c r="M17" s="33">
        <f t="shared" si="10"/>
        <v>4742.6276033332388</v>
      </c>
      <c r="N17" s="34">
        <f t="shared" si="10"/>
        <v>5429.2093611832433</v>
      </c>
      <c r="O17" s="33">
        <f t="shared" si="10"/>
        <v>6122.899405458279</v>
      </c>
      <c r="P17" s="33">
        <f t="shared" si="10"/>
        <v>6862.2292280508645</v>
      </c>
      <c r="Q17" s="33">
        <f t="shared" si="10"/>
        <v>7627.4645173849331</v>
      </c>
      <c r="R17" s="33">
        <f t="shared" si="10"/>
        <v>8435.620865724306</v>
      </c>
      <c r="S17" s="33">
        <f t="shared" si="10"/>
        <v>9285.0672728267837</v>
      </c>
      <c r="T17" s="33">
        <f t="shared" si="10"/>
        <v>10156.234716459365</v>
      </c>
      <c r="U17" s="33">
        <f t="shared" si="10"/>
        <v>11066.29779723391</v>
      </c>
      <c r="V17" s="33">
        <f t="shared" si="10"/>
        <v>11995.778480939021</v>
      </c>
      <c r="W17" s="33">
        <f t="shared" si="10"/>
        <v>12961.938898663338</v>
      </c>
      <c r="X17" s="33">
        <f t="shared" si="10"/>
        <v>13963.385220514132</v>
      </c>
      <c r="Y17" s="33">
        <f t="shared" si="10"/>
        <v>14980.776582134593</v>
      </c>
      <c r="Z17" s="34">
        <f t="shared" si="10"/>
        <v>16031.507072013481</v>
      </c>
      <c r="AA17" s="33">
        <f t="shared" si="10"/>
        <v>17138.498845709048</v>
      </c>
      <c r="AB17" s="33">
        <f t="shared" si="10"/>
        <v>18282.066882646359</v>
      </c>
      <c r="AC17" s="33">
        <f t="shared" si="10"/>
        <v>19443.040742401678</v>
      </c>
      <c r="AD17" s="33">
        <f t="shared" si="10"/>
        <v>20638.863438644825</v>
      </c>
      <c r="AE17" s="33">
        <f t="shared" si="10"/>
        <v>21868.419808608189</v>
      </c>
      <c r="AF17" s="33">
        <f t="shared" si="10"/>
        <v>23112.630374732726</v>
      </c>
      <c r="AG17" s="33">
        <f t="shared" si="10"/>
        <v>24389.026202741275</v>
      </c>
      <c r="AH17" s="33">
        <f t="shared" si="10"/>
        <v>25678.577364253553</v>
      </c>
      <c r="AI17" s="33">
        <f t="shared" ref="AI17:BN17" si="11">AI13-AI16</f>
        <v>26998.862888597443</v>
      </c>
      <c r="AJ17" s="33">
        <f t="shared" si="11"/>
        <v>28348.899276162327</v>
      </c>
      <c r="AK17" s="33">
        <f t="shared" si="11"/>
        <v>29709.734499325132</v>
      </c>
      <c r="AL17" s="34">
        <f t="shared" si="11"/>
        <v>31099.022995346728</v>
      </c>
      <c r="AM17" s="33">
        <f t="shared" si="11"/>
        <v>32388.250351477018</v>
      </c>
      <c r="AN17" s="33">
        <f t="shared" si="11"/>
        <v>33713.379341635657</v>
      </c>
      <c r="AO17" s="33">
        <f t="shared" si="11"/>
        <v>35055.404720069855</v>
      </c>
      <c r="AP17" s="33">
        <f t="shared" si="11"/>
        <v>36431.853387907897</v>
      </c>
      <c r="AQ17" s="33">
        <f t="shared" si="11"/>
        <v>37841.761493046484</v>
      </c>
      <c r="AR17" s="33">
        <f t="shared" si="11"/>
        <v>39266.192171241179</v>
      </c>
      <c r="AS17" s="33">
        <f t="shared" si="11"/>
        <v>40722.738790446427</v>
      </c>
      <c r="AT17" s="33">
        <f t="shared" si="11"/>
        <v>42192.50210431392</v>
      </c>
      <c r="AU17" s="33">
        <f t="shared" si="11"/>
        <v>43693.112045393129</v>
      </c>
      <c r="AV17" s="33">
        <f t="shared" si="11"/>
        <v>45223.704908122127</v>
      </c>
      <c r="AW17" s="33">
        <f t="shared" si="11"/>
        <v>46765.441170694707</v>
      </c>
      <c r="AX17" s="34">
        <f t="shared" si="11"/>
        <v>48336.008817915252</v>
      </c>
      <c r="AY17" s="33">
        <f t="shared" si="11"/>
        <v>49827.608597467362</v>
      </c>
      <c r="AZ17" s="33">
        <f t="shared" si="11"/>
        <v>51335.918382530675</v>
      </c>
      <c r="BA17" s="33">
        <f t="shared" si="11"/>
        <v>52842.520422967413</v>
      </c>
      <c r="BB17" s="33">
        <f t="shared" si="11"/>
        <v>54365.457412393225</v>
      </c>
      <c r="BC17" s="33">
        <f t="shared" si="11"/>
        <v>55904.320977083393</v>
      </c>
      <c r="BD17" s="33">
        <f t="shared" si="11"/>
        <v>57458.7129526563</v>
      </c>
      <c r="BE17" s="33">
        <f t="shared" si="11"/>
        <v>59010.245128839902</v>
      </c>
      <c r="BF17" s="33">
        <f t="shared" si="11"/>
        <v>60576.989000618894</v>
      </c>
      <c r="BG17" s="33">
        <f t="shared" si="11"/>
        <v>62158.564275603407</v>
      </c>
      <c r="BH17" s="33">
        <f t="shared" si="11"/>
        <v>63754.600168713325</v>
      </c>
      <c r="BI17" s="33">
        <f t="shared" si="11"/>
        <v>65346.735164495498</v>
      </c>
      <c r="BJ17" s="34">
        <f t="shared" si="11"/>
        <v>66953.066785383111</v>
      </c>
    </row>
    <row r="18" spans="1:62" x14ac:dyDescent="0.2">
      <c r="A18" s="20" t="s">
        <v>115</v>
      </c>
      <c r="C18" s="35">
        <f t="shared" ref="C18:AH18" si="12">IFERROR(C17/C13,0)</f>
        <v>0.9</v>
      </c>
      <c r="D18" s="35">
        <f t="shared" si="12"/>
        <v>0.89999999999999991</v>
      </c>
      <c r="E18" s="35">
        <f t="shared" si="12"/>
        <v>0.9</v>
      </c>
      <c r="F18" s="35">
        <f t="shared" si="12"/>
        <v>0.9</v>
      </c>
      <c r="G18" s="35">
        <f t="shared" si="12"/>
        <v>0.9</v>
      </c>
      <c r="H18" s="35">
        <f t="shared" si="12"/>
        <v>0.9</v>
      </c>
      <c r="I18" s="35">
        <f t="shared" si="12"/>
        <v>0.9</v>
      </c>
      <c r="J18" s="35">
        <f t="shared" si="12"/>
        <v>0.9</v>
      </c>
      <c r="K18" s="35">
        <f t="shared" si="12"/>
        <v>0.89999999999999991</v>
      </c>
      <c r="L18" s="35">
        <f t="shared" si="12"/>
        <v>0.89999999999999991</v>
      </c>
      <c r="M18" s="35">
        <f t="shared" si="12"/>
        <v>0.89999999999999991</v>
      </c>
      <c r="N18" s="36">
        <f t="shared" si="12"/>
        <v>0.9</v>
      </c>
      <c r="O18" s="35">
        <f t="shared" si="12"/>
        <v>0.9</v>
      </c>
      <c r="P18" s="35">
        <f t="shared" si="12"/>
        <v>0.89999999999999991</v>
      </c>
      <c r="Q18" s="35">
        <f t="shared" si="12"/>
        <v>0.9</v>
      </c>
      <c r="R18" s="35">
        <f t="shared" si="12"/>
        <v>0.9</v>
      </c>
      <c r="S18" s="35">
        <f t="shared" si="12"/>
        <v>0.9</v>
      </c>
      <c r="T18" s="35">
        <f t="shared" si="12"/>
        <v>0.89999999999999991</v>
      </c>
      <c r="U18" s="35">
        <f t="shared" si="12"/>
        <v>0.9</v>
      </c>
      <c r="V18" s="35">
        <f t="shared" si="12"/>
        <v>0.9</v>
      </c>
      <c r="W18" s="35">
        <f t="shared" si="12"/>
        <v>0.89999999999999991</v>
      </c>
      <c r="X18" s="35">
        <f t="shared" si="12"/>
        <v>0.9</v>
      </c>
      <c r="Y18" s="35">
        <f t="shared" si="12"/>
        <v>0.9</v>
      </c>
      <c r="Z18" s="36">
        <f t="shared" si="12"/>
        <v>0.9</v>
      </c>
      <c r="AA18" s="35">
        <f t="shared" si="12"/>
        <v>0.89999999999999991</v>
      </c>
      <c r="AB18" s="35">
        <f t="shared" si="12"/>
        <v>0.9</v>
      </c>
      <c r="AC18" s="35">
        <f t="shared" si="12"/>
        <v>0.9</v>
      </c>
      <c r="AD18" s="35">
        <f t="shared" si="12"/>
        <v>0.9</v>
      </c>
      <c r="AE18" s="35">
        <f t="shared" si="12"/>
        <v>0.9</v>
      </c>
      <c r="AF18" s="35">
        <f t="shared" si="12"/>
        <v>0.9</v>
      </c>
      <c r="AG18" s="35">
        <f t="shared" si="12"/>
        <v>0.89999999999999991</v>
      </c>
      <c r="AH18" s="35">
        <f t="shared" si="12"/>
        <v>0.9</v>
      </c>
      <c r="AI18" s="35">
        <f t="shared" ref="AI18:BN18" si="13">IFERROR(AI17/AI13,0)</f>
        <v>0.9</v>
      </c>
      <c r="AJ18" s="35">
        <f t="shared" si="13"/>
        <v>0.9</v>
      </c>
      <c r="AK18" s="35">
        <f t="shared" si="13"/>
        <v>0.9</v>
      </c>
      <c r="AL18" s="36">
        <f t="shared" si="13"/>
        <v>0.9</v>
      </c>
      <c r="AM18" s="35">
        <f t="shared" si="13"/>
        <v>0.9</v>
      </c>
      <c r="AN18" s="35">
        <f t="shared" si="13"/>
        <v>0.89999999999999991</v>
      </c>
      <c r="AO18" s="35">
        <f t="shared" si="13"/>
        <v>0.89999999999999991</v>
      </c>
      <c r="AP18" s="35">
        <f t="shared" si="13"/>
        <v>0.89999999999999991</v>
      </c>
      <c r="AQ18" s="35">
        <f t="shared" si="13"/>
        <v>0.9</v>
      </c>
      <c r="AR18" s="35">
        <f t="shared" si="13"/>
        <v>0.9</v>
      </c>
      <c r="AS18" s="35">
        <f t="shared" si="13"/>
        <v>0.9</v>
      </c>
      <c r="AT18" s="35">
        <f t="shared" si="13"/>
        <v>0.9</v>
      </c>
      <c r="AU18" s="35">
        <f t="shared" si="13"/>
        <v>0.9</v>
      </c>
      <c r="AV18" s="35">
        <f t="shared" si="13"/>
        <v>0.9</v>
      </c>
      <c r="AW18" s="35">
        <f t="shared" si="13"/>
        <v>0.9</v>
      </c>
      <c r="AX18" s="36">
        <f t="shared" si="13"/>
        <v>0.9</v>
      </c>
      <c r="AY18" s="35">
        <f t="shared" si="13"/>
        <v>0.89999999999999991</v>
      </c>
      <c r="AZ18" s="35">
        <f t="shared" si="13"/>
        <v>0.9</v>
      </c>
      <c r="BA18" s="35">
        <f t="shared" si="13"/>
        <v>0.9</v>
      </c>
      <c r="BB18" s="35">
        <f t="shared" si="13"/>
        <v>0.9</v>
      </c>
      <c r="BC18" s="35">
        <f t="shared" si="13"/>
        <v>0.9</v>
      </c>
      <c r="BD18" s="35">
        <f t="shared" si="13"/>
        <v>0.9</v>
      </c>
      <c r="BE18" s="35">
        <f t="shared" si="13"/>
        <v>0.9</v>
      </c>
      <c r="BF18" s="35">
        <f t="shared" si="13"/>
        <v>0.89999999999999991</v>
      </c>
      <c r="BG18" s="35">
        <f t="shared" si="13"/>
        <v>0.89999999999999991</v>
      </c>
      <c r="BH18" s="35">
        <f t="shared" si="13"/>
        <v>0.9</v>
      </c>
      <c r="BI18" s="35">
        <f t="shared" si="13"/>
        <v>0.9</v>
      </c>
      <c r="BJ18" s="36">
        <f t="shared" si="13"/>
        <v>0.9</v>
      </c>
    </row>
    <row r="19" spans="1:62" x14ac:dyDescent="0.2">
      <c r="N19" s="26"/>
      <c r="Z19" s="26"/>
      <c r="AL19" s="26"/>
      <c r="AX19" s="26"/>
      <c r="BJ19" s="26"/>
    </row>
    <row r="20" spans="1:62" x14ac:dyDescent="0.2">
      <c r="A20" s="20" t="s">
        <v>116</v>
      </c>
      <c r="C20" s="37">
        <f>INDEX(Assumptions!$B$32:$F$32,1,C5)</f>
        <v>50</v>
      </c>
      <c r="D20" s="37">
        <f>INDEX(Assumptions!$B$32:$F$32,1,D5)</f>
        <v>50</v>
      </c>
      <c r="E20" s="37">
        <f>INDEX(Assumptions!$B$32:$F$32,1,E5)</f>
        <v>50</v>
      </c>
      <c r="F20" s="37">
        <f>INDEX(Assumptions!$B$32:$F$32,1,F5)</f>
        <v>50</v>
      </c>
      <c r="G20" s="37">
        <f>INDEX(Assumptions!$B$32:$F$32,1,G5)</f>
        <v>50</v>
      </c>
      <c r="H20" s="37">
        <f>INDEX(Assumptions!$B$32:$F$32,1,H5)</f>
        <v>50</v>
      </c>
      <c r="I20" s="37">
        <f>INDEX(Assumptions!$B$32:$F$32,1,I5)</f>
        <v>50</v>
      </c>
      <c r="J20" s="37">
        <f>INDEX(Assumptions!$B$32:$F$32,1,J5)</f>
        <v>50</v>
      </c>
      <c r="K20" s="37">
        <f>INDEX(Assumptions!$B$32:$F$32,1,K5)</f>
        <v>50</v>
      </c>
      <c r="L20" s="37">
        <f>INDEX(Assumptions!$B$32:$F$32,1,L5)</f>
        <v>50</v>
      </c>
      <c r="M20" s="37">
        <f>INDEX(Assumptions!$B$32:$F$32,1,M5)</f>
        <v>50</v>
      </c>
      <c r="N20" s="38">
        <f>INDEX(Assumptions!$B$32:$F$32,1,N5)</f>
        <v>50</v>
      </c>
      <c r="O20" s="37">
        <f>INDEX(Assumptions!$B$32:$F$32,1,O5)</f>
        <v>120</v>
      </c>
      <c r="P20" s="37">
        <f>INDEX(Assumptions!$B$32:$F$32,1,P5)</f>
        <v>120</v>
      </c>
      <c r="Q20" s="37">
        <f>INDEX(Assumptions!$B$32:$F$32,1,Q5)</f>
        <v>120</v>
      </c>
      <c r="R20" s="37">
        <f>INDEX(Assumptions!$B$32:$F$32,1,R5)</f>
        <v>120</v>
      </c>
      <c r="S20" s="37">
        <f>INDEX(Assumptions!$B$32:$F$32,1,S5)</f>
        <v>120</v>
      </c>
      <c r="T20" s="37">
        <f>INDEX(Assumptions!$B$32:$F$32,1,T5)</f>
        <v>120</v>
      </c>
      <c r="U20" s="37">
        <f>INDEX(Assumptions!$B$32:$F$32,1,U5)</f>
        <v>120</v>
      </c>
      <c r="V20" s="37">
        <f>INDEX(Assumptions!$B$32:$F$32,1,V5)</f>
        <v>120</v>
      </c>
      <c r="W20" s="37">
        <f>INDEX(Assumptions!$B$32:$F$32,1,W5)</f>
        <v>120</v>
      </c>
      <c r="X20" s="37">
        <f>INDEX(Assumptions!$B$32:$F$32,1,X5)</f>
        <v>120</v>
      </c>
      <c r="Y20" s="37">
        <f>INDEX(Assumptions!$B$32:$F$32,1,Y5)</f>
        <v>120</v>
      </c>
      <c r="Z20" s="38">
        <f>INDEX(Assumptions!$B$32:$F$32,1,Z5)</f>
        <v>120</v>
      </c>
      <c r="AA20" s="37">
        <f>INDEX(Assumptions!$B$32:$F$32,1,AA5)</f>
        <v>200</v>
      </c>
      <c r="AB20" s="37">
        <f>INDEX(Assumptions!$B$32:$F$32,1,AB5)</f>
        <v>200</v>
      </c>
      <c r="AC20" s="37">
        <f>INDEX(Assumptions!$B$32:$F$32,1,AC5)</f>
        <v>200</v>
      </c>
      <c r="AD20" s="37">
        <f>INDEX(Assumptions!$B$32:$F$32,1,AD5)</f>
        <v>200</v>
      </c>
      <c r="AE20" s="37">
        <f>INDEX(Assumptions!$B$32:$F$32,1,AE5)</f>
        <v>200</v>
      </c>
      <c r="AF20" s="37">
        <f>INDEX(Assumptions!$B$32:$F$32,1,AF5)</f>
        <v>200</v>
      </c>
      <c r="AG20" s="37">
        <f>INDEX(Assumptions!$B$32:$F$32,1,AG5)</f>
        <v>200</v>
      </c>
      <c r="AH20" s="37">
        <f>INDEX(Assumptions!$B$32:$F$32,1,AH5)</f>
        <v>200</v>
      </c>
      <c r="AI20" s="37">
        <f>INDEX(Assumptions!$B$32:$F$32,1,AI5)</f>
        <v>200</v>
      </c>
      <c r="AJ20" s="37">
        <f>INDEX(Assumptions!$B$32:$F$32,1,AJ5)</f>
        <v>200</v>
      </c>
      <c r="AK20" s="37">
        <f>INDEX(Assumptions!$B$32:$F$32,1,AK5)</f>
        <v>200</v>
      </c>
      <c r="AL20" s="38">
        <f>INDEX(Assumptions!$B$32:$F$32,1,AL5)</f>
        <v>200</v>
      </c>
      <c r="AM20" s="37">
        <f>INDEX(Assumptions!$B$32:$F$32,1,AM5)</f>
        <v>300</v>
      </c>
      <c r="AN20" s="37">
        <f>INDEX(Assumptions!$B$32:$F$32,1,AN5)</f>
        <v>300</v>
      </c>
      <c r="AO20" s="37">
        <f>INDEX(Assumptions!$B$32:$F$32,1,AO5)</f>
        <v>300</v>
      </c>
      <c r="AP20" s="37">
        <f>INDEX(Assumptions!$B$32:$F$32,1,AP5)</f>
        <v>300</v>
      </c>
      <c r="AQ20" s="37">
        <f>INDEX(Assumptions!$B$32:$F$32,1,AQ5)</f>
        <v>300</v>
      </c>
      <c r="AR20" s="37">
        <f>INDEX(Assumptions!$B$32:$F$32,1,AR5)</f>
        <v>300</v>
      </c>
      <c r="AS20" s="37">
        <f>INDEX(Assumptions!$B$32:$F$32,1,AS5)</f>
        <v>300</v>
      </c>
      <c r="AT20" s="37">
        <f>INDEX(Assumptions!$B$32:$F$32,1,AT5)</f>
        <v>300</v>
      </c>
      <c r="AU20" s="37">
        <f>INDEX(Assumptions!$B$32:$F$32,1,AU5)</f>
        <v>300</v>
      </c>
      <c r="AV20" s="37">
        <f>INDEX(Assumptions!$B$32:$F$32,1,AV5)</f>
        <v>300</v>
      </c>
      <c r="AW20" s="37">
        <f>INDEX(Assumptions!$B$32:$F$32,1,AW5)</f>
        <v>300</v>
      </c>
      <c r="AX20" s="38">
        <f>INDEX(Assumptions!$B$32:$F$32,1,AX5)</f>
        <v>300</v>
      </c>
      <c r="AY20" s="37">
        <f>INDEX(Assumptions!$B$32:$F$32,1,AY5)</f>
        <v>400</v>
      </c>
      <c r="AZ20" s="37">
        <f>INDEX(Assumptions!$B$32:$F$32,1,AZ5)</f>
        <v>400</v>
      </c>
      <c r="BA20" s="37">
        <f>INDEX(Assumptions!$B$32:$F$32,1,BA5)</f>
        <v>400</v>
      </c>
      <c r="BB20" s="37">
        <f>INDEX(Assumptions!$B$32:$F$32,1,BB5)</f>
        <v>400</v>
      </c>
      <c r="BC20" s="37">
        <f>INDEX(Assumptions!$B$32:$F$32,1,BC5)</f>
        <v>400</v>
      </c>
      <c r="BD20" s="37">
        <f>INDEX(Assumptions!$B$32:$F$32,1,BD5)</f>
        <v>400</v>
      </c>
      <c r="BE20" s="37">
        <f>INDEX(Assumptions!$B$32:$F$32,1,BE5)</f>
        <v>400</v>
      </c>
      <c r="BF20" s="37">
        <f>INDEX(Assumptions!$B$32:$F$32,1,BF5)</f>
        <v>400</v>
      </c>
      <c r="BG20" s="37">
        <f>INDEX(Assumptions!$B$32:$F$32,1,BG5)</f>
        <v>400</v>
      </c>
      <c r="BH20" s="37">
        <f>INDEX(Assumptions!$B$32:$F$32,1,BH5)</f>
        <v>400</v>
      </c>
      <c r="BI20" s="37">
        <f>INDEX(Assumptions!$B$32:$F$32,1,BI5)</f>
        <v>400</v>
      </c>
      <c r="BJ20" s="38">
        <f>INDEX(Assumptions!$B$32:$F$32,1,BJ5)</f>
        <v>400</v>
      </c>
    </row>
    <row r="21" spans="1:62" x14ac:dyDescent="0.2">
      <c r="A21" s="20" t="s">
        <v>117</v>
      </c>
      <c r="C21" s="37">
        <f>INDEX(Assumptions!$B$34:$F$34,1,C5)/12</f>
        <v>0</v>
      </c>
      <c r="D21" s="37">
        <f>INDEX(Assumptions!$B$34:$F$34,1,D5)/12</f>
        <v>0</v>
      </c>
      <c r="E21" s="37">
        <f>INDEX(Assumptions!$B$34:$F$34,1,E5)/12</f>
        <v>0</v>
      </c>
      <c r="F21" s="37">
        <f>INDEX(Assumptions!$B$34:$F$34,1,F5)/12</f>
        <v>0</v>
      </c>
      <c r="G21" s="37">
        <f>INDEX(Assumptions!$B$34:$F$34,1,G5)/12</f>
        <v>0</v>
      </c>
      <c r="H21" s="37">
        <f>INDEX(Assumptions!$B$34:$F$34,1,H5)/12</f>
        <v>0</v>
      </c>
      <c r="I21" s="37">
        <f>INDEX(Assumptions!$B$34:$F$34,1,I5)/12</f>
        <v>0</v>
      </c>
      <c r="J21" s="37">
        <f>INDEX(Assumptions!$B$34:$F$34,1,J5)/12</f>
        <v>0</v>
      </c>
      <c r="K21" s="37">
        <f>INDEX(Assumptions!$B$34:$F$34,1,K5)/12</f>
        <v>0</v>
      </c>
      <c r="L21" s="37">
        <f>INDEX(Assumptions!$B$34:$F$34,1,L5)/12</f>
        <v>0</v>
      </c>
      <c r="M21" s="37">
        <f>INDEX(Assumptions!$B$34:$F$34,1,M5)/12</f>
        <v>0</v>
      </c>
      <c r="N21" s="38">
        <f>INDEX(Assumptions!$B$34:$F$34,1,N5)/12</f>
        <v>0</v>
      </c>
      <c r="O21" s="37">
        <f>INDEX(Assumptions!$B$34:$F$34,1,O5)/12</f>
        <v>0</v>
      </c>
      <c r="P21" s="37">
        <f>INDEX(Assumptions!$B$34:$F$34,1,P5)/12</f>
        <v>0</v>
      </c>
      <c r="Q21" s="37">
        <f>INDEX(Assumptions!$B$34:$F$34,1,Q5)/12</f>
        <v>0</v>
      </c>
      <c r="R21" s="37">
        <f>INDEX(Assumptions!$B$34:$F$34,1,R5)/12</f>
        <v>0</v>
      </c>
      <c r="S21" s="37">
        <f>INDEX(Assumptions!$B$34:$F$34,1,S5)/12</f>
        <v>0</v>
      </c>
      <c r="T21" s="37">
        <f>INDEX(Assumptions!$B$34:$F$34,1,T5)/12</f>
        <v>0</v>
      </c>
      <c r="U21" s="37">
        <f>INDEX(Assumptions!$B$34:$F$34,1,U5)/12</f>
        <v>0</v>
      </c>
      <c r="V21" s="37">
        <f>INDEX(Assumptions!$B$34:$F$34,1,V5)/12</f>
        <v>0</v>
      </c>
      <c r="W21" s="37">
        <f>INDEX(Assumptions!$B$34:$F$34,1,W5)/12</f>
        <v>0</v>
      </c>
      <c r="X21" s="37">
        <f>INDEX(Assumptions!$B$34:$F$34,1,X5)/12</f>
        <v>0</v>
      </c>
      <c r="Y21" s="37">
        <f>INDEX(Assumptions!$B$34:$F$34,1,Y5)/12</f>
        <v>0</v>
      </c>
      <c r="Z21" s="38">
        <f>INDEX(Assumptions!$B$34:$F$34,1,Z5)/12</f>
        <v>0</v>
      </c>
      <c r="AA21" s="37">
        <f>INDEX(Assumptions!$B$34:$F$34,1,AA5)/12</f>
        <v>0</v>
      </c>
      <c r="AB21" s="37">
        <f>INDEX(Assumptions!$B$34:$F$34,1,AB5)/12</f>
        <v>0</v>
      </c>
      <c r="AC21" s="37">
        <f>INDEX(Assumptions!$B$34:$F$34,1,AC5)/12</f>
        <v>0</v>
      </c>
      <c r="AD21" s="37">
        <f>INDEX(Assumptions!$B$34:$F$34,1,AD5)/12</f>
        <v>0</v>
      </c>
      <c r="AE21" s="37">
        <f>INDEX(Assumptions!$B$34:$F$34,1,AE5)/12</f>
        <v>0</v>
      </c>
      <c r="AF21" s="37">
        <f>INDEX(Assumptions!$B$34:$F$34,1,AF5)/12</f>
        <v>0</v>
      </c>
      <c r="AG21" s="37">
        <f>INDEX(Assumptions!$B$34:$F$34,1,AG5)/12</f>
        <v>0</v>
      </c>
      <c r="AH21" s="37">
        <f>INDEX(Assumptions!$B$34:$F$34,1,AH5)/12</f>
        <v>0</v>
      </c>
      <c r="AI21" s="37">
        <f>INDEX(Assumptions!$B$34:$F$34,1,AI5)/12</f>
        <v>0</v>
      </c>
      <c r="AJ21" s="37">
        <f>INDEX(Assumptions!$B$34:$F$34,1,AJ5)/12</f>
        <v>0</v>
      </c>
      <c r="AK21" s="37">
        <f>INDEX(Assumptions!$B$34:$F$34,1,AK5)/12</f>
        <v>0</v>
      </c>
      <c r="AL21" s="38">
        <f>INDEX(Assumptions!$B$34:$F$34,1,AL5)/12</f>
        <v>0</v>
      </c>
      <c r="AM21" s="37">
        <f>INDEX(Assumptions!$B$34:$F$34,1,AM5)/12</f>
        <v>0</v>
      </c>
      <c r="AN21" s="37">
        <f>INDEX(Assumptions!$B$34:$F$34,1,AN5)/12</f>
        <v>0</v>
      </c>
      <c r="AO21" s="37">
        <f>INDEX(Assumptions!$B$34:$F$34,1,AO5)/12</f>
        <v>0</v>
      </c>
      <c r="AP21" s="37">
        <f>INDEX(Assumptions!$B$34:$F$34,1,AP5)/12</f>
        <v>0</v>
      </c>
      <c r="AQ21" s="37">
        <f>INDEX(Assumptions!$B$34:$F$34,1,AQ5)/12</f>
        <v>0</v>
      </c>
      <c r="AR21" s="37">
        <f>INDEX(Assumptions!$B$34:$F$34,1,AR5)/12</f>
        <v>0</v>
      </c>
      <c r="AS21" s="37">
        <f>INDEX(Assumptions!$B$34:$F$34,1,AS5)/12</f>
        <v>0</v>
      </c>
      <c r="AT21" s="37">
        <f>INDEX(Assumptions!$B$34:$F$34,1,AT5)/12</f>
        <v>0</v>
      </c>
      <c r="AU21" s="37">
        <f>INDEX(Assumptions!$B$34:$F$34,1,AU5)/12</f>
        <v>0</v>
      </c>
      <c r="AV21" s="37">
        <f>INDEX(Assumptions!$B$34:$F$34,1,AV5)/12</f>
        <v>0</v>
      </c>
      <c r="AW21" s="37">
        <f>INDEX(Assumptions!$B$34:$F$34,1,AW5)/12</f>
        <v>0</v>
      </c>
      <c r="AX21" s="38">
        <f>INDEX(Assumptions!$B$34:$F$34,1,AX5)/12</f>
        <v>0</v>
      </c>
      <c r="AY21" s="37">
        <f>INDEX(Assumptions!$B$34:$F$34,1,AY5)/12</f>
        <v>0</v>
      </c>
      <c r="AZ21" s="37">
        <f>INDEX(Assumptions!$B$34:$F$34,1,AZ5)/12</f>
        <v>0</v>
      </c>
      <c r="BA21" s="37">
        <f>INDEX(Assumptions!$B$34:$F$34,1,BA5)/12</f>
        <v>0</v>
      </c>
      <c r="BB21" s="37">
        <f>INDEX(Assumptions!$B$34:$F$34,1,BB5)/12</f>
        <v>0</v>
      </c>
      <c r="BC21" s="37">
        <f>INDEX(Assumptions!$B$34:$F$34,1,BC5)/12</f>
        <v>0</v>
      </c>
      <c r="BD21" s="37">
        <f>INDEX(Assumptions!$B$34:$F$34,1,BD5)/12</f>
        <v>0</v>
      </c>
      <c r="BE21" s="37">
        <f>INDEX(Assumptions!$B$34:$F$34,1,BE5)/12</f>
        <v>0</v>
      </c>
      <c r="BF21" s="37">
        <f>INDEX(Assumptions!$B$34:$F$34,1,BF5)/12</f>
        <v>0</v>
      </c>
      <c r="BG21" s="37">
        <f>INDEX(Assumptions!$B$34:$F$34,1,BG5)/12</f>
        <v>0</v>
      </c>
      <c r="BH21" s="37">
        <f>INDEX(Assumptions!$B$34:$F$34,1,BH5)/12</f>
        <v>0</v>
      </c>
      <c r="BI21" s="37">
        <f>INDEX(Assumptions!$B$34:$F$34,1,BI5)/12</f>
        <v>0</v>
      </c>
      <c r="BJ21" s="38">
        <f>INDEX(Assumptions!$B$34:$F$34,1,BJ5)/12</f>
        <v>0</v>
      </c>
    </row>
    <row r="22" spans="1:62" x14ac:dyDescent="0.2">
      <c r="A22" s="20" t="s">
        <v>118</v>
      </c>
      <c r="C22" s="33">
        <f t="shared" ref="C22:AH22" si="14">C20+C21</f>
        <v>50</v>
      </c>
      <c r="D22" s="33">
        <f t="shared" si="14"/>
        <v>50</v>
      </c>
      <c r="E22" s="33">
        <f t="shared" si="14"/>
        <v>50</v>
      </c>
      <c r="F22" s="33">
        <f t="shared" si="14"/>
        <v>50</v>
      </c>
      <c r="G22" s="33">
        <f t="shared" si="14"/>
        <v>50</v>
      </c>
      <c r="H22" s="33">
        <f t="shared" si="14"/>
        <v>50</v>
      </c>
      <c r="I22" s="33">
        <f t="shared" si="14"/>
        <v>50</v>
      </c>
      <c r="J22" s="33">
        <f t="shared" si="14"/>
        <v>50</v>
      </c>
      <c r="K22" s="33">
        <f t="shared" si="14"/>
        <v>50</v>
      </c>
      <c r="L22" s="33">
        <f t="shared" si="14"/>
        <v>50</v>
      </c>
      <c r="M22" s="33">
        <f t="shared" si="14"/>
        <v>50</v>
      </c>
      <c r="N22" s="34">
        <f t="shared" si="14"/>
        <v>50</v>
      </c>
      <c r="O22" s="33">
        <f t="shared" si="14"/>
        <v>120</v>
      </c>
      <c r="P22" s="33">
        <f t="shared" si="14"/>
        <v>120</v>
      </c>
      <c r="Q22" s="33">
        <f t="shared" si="14"/>
        <v>120</v>
      </c>
      <c r="R22" s="33">
        <f t="shared" si="14"/>
        <v>120</v>
      </c>
      <c r="S22" s="33">
        <f t="shared" si="14"/>
        <v>120</v>
      </c>
      <c r="T22" s="33">
        <f t="shared" si="14"/>
        <v>120</v>
      </c>
      <c r="U22" s="33">
        <f t="shared" si="14"/>
        <v>120</v>
      </c>
      <c r="V22" s="33">
        <f t="shared" si="14"/>
        <v>120</v>
      </c>
      <c r="W22" s="33">
        <f t="shared" si="14"/>
        <v>120</v>
      </c>
      <c r="X22" s="33">
        <f t="shared" si="14"/>
        <v>120</v>
      </c>
      <c r="Y22" s="33">
        <f t="shared" si="14"/>
        <v>120</v>
      </c>
      <c r="Z22" s="34">
        <f t="shared" si="14"/>
        <v>120</v>
      </c>
      <c r="AA22" s="33">
        <f t="shared" si="14"/>
        <v>200</v>
      </c>
      <c r="AB22" s="33">
        <f t="shared" si="14"/>
        <v>200</v>
      </c>
      <c r="AC22" s="33">
        <f t="shared" si="14"/>
        <v>200</v>
      </c>
      <c r="AD22" s="33">
        <f t="shared" si="14"/>
        <v>200</v>
      </c>
      <c r="AE22" s="33">
        <f t="shared" si="14"/>
        <v>200</v>
      </c>
      <c r="AF22" s="33">
        <f t="shared" si="14"/>
        <v>200</v>
      </c>
      <c r="AG22" s="33">
        <f t="shared" si="14"/>
        <v>200</v>
      </c>
      <c r="AH22" s="33">
        <f t="shared" si="14"/>
        <v>200</v>
      </c>
      <c r="AI22" s="33">
        <f t="shared" ref="AI22:BN22" si="15">AI20+AI21</f>
        <v>200</v>
      </c>
      <c r="AJ22" s="33">
        <f t="shared" si="15"/>
        <v>200</v>
      </c>
      <c r="AK22" s="33">
        <f t="shared" si="15"/>
        <v>200</v>
      </c>
      <c r="AL22" s="34">
        <f t="shared" si="15"/>
        <v>200</v>
      </c>
      <c r="AM22" s="33">
        <f t="shared" si="15"/>
        <v>300</v>
      </c>
      <c r="AN22" s="33">
        <f t="shared" si="15"/>
        <v>300</v>
      </c>
      <c r="AO22" s="33">
        <f t="shared" si="15"/>
        <v>300</v>
      </c>
      <c r="AP22" s="33">
        <f t="shared" si="15"/>
        <v>300</v>
      </c>
      <c r="AQ22" s="33">
        <f t="shared" si="15"/>
        <v>300</v>
      </c>
      <c r="AR22" s="33">
        <f t="shared" si="15"/>
        <v>300</v>
      </c>
      <c r="AS22" s="33">
        <f t="shared" si="15"/>
        <v>300</v>
      </c>
      <c r="AT22" s="33">
        <f t="shared" si="15"/>
        <v>300</v>
      </c>
      <c r="AU22" s="33">
        <f t="shared" si="15"/>
        <v>300</v>
      </c>
      <c r="AV22" s="33">
        <f t="shared" si="15"/>
        <v>300</v>
      </c>
      <c r="AW22" s="33">
        <f t="shared" si="15"/>
        <v>300</v>
      </c>
      <c r="AX22" s="34">
        <f t="shared" si="15"/>
        <v>300</v>
      </c>
      <c r="AY22" s="33">
        <f t="shared" si="15"/>
        <v>400</v>
      </c>
      <c r="AZ22" s="33">
        <f t="shared" si="15"/>
        <v>400</v>
      </c>
      <c r="BA22" s="33">
        <f t="shared" si="15"/>
        <v>400</v>
      </c>
      <c r="BB22" s="33">
        <f t="shared" si="15"/>
        <v>400</v>
      </c>
      <c r="BC22" s="33">
        <f t="shared" si="15"/>
        <v>400</v>
      </c>
      <c r="BD22" s="33">
        <f t="shared" si="15"/>
        <v>400</v>
      </c>
      <c r="BE22" s="33">
        <f t="shared" si="15"/>
        <v>400</v>
      </c>
      <c r="BF22" s="33">
        <f t="shared" si="15"/>
        <v>400</v>
      </c>
      <c r="BG22" s="33">
        <f t="shared" si="15"/>
        <v>400</v>
      </c>
      <c r="BH22" s="33">
        <f t="shared" si="15"/>
        <v>400</v>
      </c>
      <c r="BI22" s="33">
        <f t="shared" si="15"/>
        <v>400</v>
      </c>
      <c r="BJ22" s="34">
        <f t="shared" si="15"/>
        <v>400</v>
      </c>
    </row>
    <row r="23" spans="1:62" x14ac:dyDescent="0.2">
      <c r="N23" s="26"/>
      <c r="Z23" s="26"/>
      <c r="AL23" s="26"/>
      <c r="AX23" s="26"/>
      <c r="BJ23" s="26"/>
    </row>
    <row r="24" spans="1:62" x14ac:dyDescent="0.2">
      <c r="A24" s="20" t="s">
        <v>119</v>
      </c>
      <c r="C24" s="33">
        <f t="shared" ref="C24:AH24" si="16">C17-C22</f>
        <v>130</v>
      </c>
      <c r="D24" s="33">
        <f t="shared" si="16"/>
        <v>373.9</v>
      </c>
      <c r="E24" s="33">
        <f t="shared" si="16"/>
        <v>660.82449999999994</v>
      </c>
      <c r="F24" s="33">
        <f t="shared" si="16"/>
        <v>1006.8373975</v>
      </c>
      <c r="G24" s="33">
        <f t="shared" si="16"/>
        <v>1409.2797146125001</v>
      </c>
      <c r="H24" s="33">
        <f t="shared" si="16"/>
        <v>1847.6121274549375</v>
      </c>
      <c r="I24" s="33">
        <f t="shared" si="16"/>
        <v>2338.2195817194656</v>
      </c>
      <c r="J24" s="33">
        <f t="shared" si="16"/>
        <v>2860.7497005420896</v>
      </c>
      <c r="K24" s="33">
        <f t="shared" si="16"/>
        <v>3431.7659640176953</v>
      </c>
      <c r="L24" s="33">
        <f t="shared" si="16"/>
        <v>4049.0864956368987</v>
      </c>
      <c r="M24" s="33">
        <f t="shared" si="16"/>
        <v>4692.6276033332388</v>
      </c>
      <c r="N24" s="34">
        <f t="shared" si="16"/>
        <v>5379.2093611832433</v>
      </c>
      <c r="O24" s="33">
        <f t="shared" si="16"/>
        <v>6002.899405458279</v>
      </c>
      <c r="P24" s="33">
        <f t="shared" si="16"/>
        <v>6742.2292280508645</v>
      </c>
      <c r="Q24" s="33">
        <f t="shared" si="16"/>
        <v>7507.4645173849331</v>
      </c>
      <c r="R24" s="33">
        <f t="shared" si="16"/>
        <v>8315.620865724306</v>
      </c>
      <c r="S24" s="33">
        <f t="shared" si="16"/>
        <v>9165.0672728267837</v>
      </c>
      <c r="T24" s="33">
        <f t="shared" si="16"/>
        <v>10036.234716459365</v>
      </c>
      <c r="U24" s="33">
        <f t="shared" si="16"/>
        <v>10946.29779723391</v>
      </c>
      <c r="V24" s="33">
        <f t="shared" si="16"/>
        <v>11875.778480939021</v>
      </c>
      <c r="W24" s="33">
        <f t="shared" si="16"/>
        <v>12841.938898663338</v>
      </c>
      <c r="X24" s="33">
        <f t="shared" si="16"/>
        <v>13843.385220514132</v>
      </c>
      <c r="Y24" s="33">
        <f t="shared" si="16"/>
        <v>14860.776582134593</v>
      </c>
      <c r="Z24" s="34">
        <f t="shared" si="16"/>
        <v>15911.507072013481</v>
      </c>
      <c r="AA24" s="33">
        <f t="shared" si="16"/>
        <v>16938.498845709048</v>
      </c>
      <c r="AB24" s="33">
        <f t="shared" si="16"/>
        <v>18082.066882646359</v>
      </c>
      <c r="AC24" s="33">
        <f t="shared" si="16"/>
        <v>19243.040742401678</v>
      </c>
      <c r="AD24" s="33">
        <f t="shared" si="16"/>
        <v>20438.863438644825</v>
      </c>
      <c r="AE24" s="33">
        <f t="shared" si="16"/>
        <v>21668.419808608189</v>
      </c>
      <c r="AF24" s="33">
        <f t="shared" si="16"/>
        <v>22912.630374732726</v>
      </c>
      <c r="AG24" s="33">
        <f t="shared" si="16"/>
        <v>24189.026202741275</v>
      </c>
      <c r="AH24" s="33">
        <f t="shared" si="16"/>
        <v>25478.577364253553</v>
      </c>
      <c r="AI24" s="33">
        <f t="shared" ref="AI24:BJ24" si="17">AI17-AI22</f>
        <v>26798.862888597443</v>
      </c>
      <c r="AJ24" s="33">
        <f t="shared" si="17"/>
        <v>28148.899276162327</v>
      </c>
      <c r="AK24" s="33">
        <f t="shared" si="17"/>
        <v>29509.734499325132</v>
      </c>
      <c r="AL24" s="34">
        <f t="shared" si="17"/>
        <v>30899.022995346728</v>
      </c>
      <c r="AM24" s="33">
        <f t="shared" si="17"/>
        <v>32088.250351477018</v>
      </c>
      <c r="AN24" s="33">
        <f t="shared" si="17"/>
        <v>33413.379341635657</v>
      </c>
      <c r="AO24" s="33">
        <f t="shared" si="17"/>
        <v>34755.404720069855</v>
      </c>
      <c r="AP24" s="33">
        <f t="shared" si="17"/>
        <v>36131.853387907897</v>
      </c>
      <c r="AQ24" s="33">
        <f t="shared" si="17"/>
        <v>37541.761493046484</v>
      </c>
      <c r="AR24" s="33">
        <f t="shared" si="17"/>
        <v>38966.192171241179</v>
      </c>
      <c r="AS24" s="33">
        <f t="shared" si="17"/>
        <v>40422.738790446427</v>
      </c>
      <c r="AT24" s="33">
        <f t="shared" si="17"/>
        <v>41892.50210431392</v>
      </c>
      <c r="AU24" s="33">
        <f t="shared" si="17"/>
        <v>43393.112045393129</v>
      </c>
      <c r="AV24" s="33">
        <f t="shared" si="17"/>
        <v>44923.704908122127</v>
      </c>
      <c r="AW24" s="33">
        <f t="shared" si="17"/>
        <v>46465.441170694707</v>
      </c>
      <c r="AX24" s="34">
        <f t="shared" si="17"/>
        <v>48036.008817915252</v>
      </c>
      <c r="AY24" s="33">
        <f t="shared" si="17"/>
        <v>49427.608597467362</v>
      </c>
      <c r="AZ24" s="33">
        <f t="shared" si="17"/>
        <v>50935.918382530675</v>
      </c>
      <c r="BA24" s="33">
        <f t="shared" si="17"/>
        <v>52442.520422967413</v>
      </c>
      <c r="BB24" s="33">
        <f t="shared" si="17"/>
        <v>53965.457412393225</v>
      </c>
      <c r="BC24" s="33">
        <f t="shared" si="17"/>
        <v>55504.320977083393</v>
      </c>
      <c r="BD24" s="33">
        <f t="shared" si="17"/>
        <v>57058.7129526563</v>
      </c>
      <c r="BE24" s="33">
        <f t="shared" si="17"/>
        <v>58610.245128839902</v>
      </c>
      <c r="BF24" s="33">
        <f t="shared" si="17"/>
        <v>60176.989000618894</v>
      </c>
      <c r="BG24" s="33">
        <f t="shared" si="17"/>
        <v>61758.564275603407</v>
      </c>
      <c r="BH24" s="33">
        <f t="shared" si="17"/>
        <v>63354.600168713325</v>
      </c>
      <c r="BI24" s="33">
        <f t="shared" si="17"/>
        <v>64946.735164495498</v>
      </c>
      <c r="BJ24" s="34">
        <f t="shared" si="17"/>
        <v>66553.066785383111</v>
      </c>
    </row>
    <row r="25" spans="1:62" x14ac:dyDescent="0.2">
      <c r="A25" s="20" t="s">
        <v>120</v>
      </c>
      <c r="C25" s="33">
        <f>C24</f>
        <v>130</v>
      </c>
      <c r="D25" s="33">
        <f t="shared" ref="D25:AI25" si="18">C25+D24</f>
        <v>503.9</v>
      </c>
      <c r="E25" s="33">
        <f t="shared" si="18"/>
        <v>1164.7244999999998</v>
      </c>
      <c r="F25" s="33">
        <f t="shared" si="18"/>
        <v>2171.5618974999998</v>
      </c>
      <c r="G25" s="33">
        <f>F25+G24</f>
        <v>3580.8416121125001</v>
      </c>
      <c r="H25" s="33">
        <f t="shared" si="18"/>
        <v>5428.4537395674379</v>
      </c>
      <c r="I25" s="33">
        <f t="shared" si="18"/>
        <v>7766.673321286904</v>
      </c>
      <c r="J25" s="33">
        <f t="shared" si="18"/>
        <v>10627.423021828994</v>
      </c>
      <c r="K25" s="33">
        <f t="shared" si="18"/>
        <v>14059.188985846689</v>
      </c>
      <c r="L25" s="33">
        <f t="shared" si="18"/>
        <v>18108.275481483586</v>
      </c>
      <c r="M25" s="33">
        <f t="shared" si="18"/>
        <v>22800.903084816826</v>
      </c>
      <c r="N25" s="34">
        <f t="shared" si="18"/>
        <v>28180.112446000068</v>
      </c>
      <c r="O25" s="33">
        <f t="shared" si="18"/>
        <v>34183.011851458345</v>
      </c>
      <c r="P25" s="33">
        <f t="shared" si="18"/>
        <v>40925.241079509207</v>
      </c>
      <c r="Q25" s="33">
        <f t="shared" si="18"/>
        <v>48432.705596894142</v>
      </c>
      <c r="R25" s="33">
        <f t="shared" si="18"/>
        <v>56748.326462618446</v>
      </c>
      <c r="S25" s="33">
        <f t="shared" si="18"/>
        <v>65913.393735445236</v>
      </c>
      <c r="T25" s="33">
        <f t="shared" si="18"/>
        <v>75949.628451904602</v>
      </c>
      <c r="U25" s="33">
        <f t="shared" si="18"/>
        <v>86895.926249138516</v>
      </c>
      <c r="V25" s="33">
        <f t="shared" si="18"/>
        <v>98771.70473007753</v>
      </c>
      <c r="W25" s="33">
        <f t="shared" si="18"/>
        <v>111613.64362874087</v>
      </c>
      <c r="X25" s="33">
        <f t="shared" si="18"/>
        <v>125457.028849255</v>
      </c>
      <c r="Y25" s="33">
        <f t="shared" si="18"/>
        <v>140317.8054313896</v>
      </c>
      <c r="Z25" s="34">
        <f t="shared" si="18"/>
        <v>156229.31250340308</v>
      </c>
      <c r="AA25" s="33">
        <f t="shared" si="18"/>
        <v>173167.81134911213</v>
      </c>
      <c r="AB25" s="33">
        <f t="shared" si="18"/>
        <v>191249.87823175848</v>
      </c>
      <c r="AC25" s="33">
        <f t="shared" si="18"/>
        <v>210492.91897416016</v>
      </c>
      <c r="AD25" s="33">
        <f t="shared" si="18"/>
        <v>230931.78241280498</v>
      </c>
      <c r="AE25" s="33">
        <f t="shared" si="18"/>
        <v>252600.20222141317</v>
      </c>
      <c r="AF25" s="33">
        <f t="shared" si="18"/>
        <v>275512.83259614592</v>
      </c>
      <c r="AG25" s="33">
        <f t="shared" si="18"/>
        <v>299701.85879888717</v>
      </c>
      <c r="AH25" s="33">
        <f t="shared" si="18"/>
        <v>325180.43616314075</v>
      </c>
      <c r="AI25" s="33">
        <f t="shared" si="18"/>
        <v>351979.29905173817</v>
      </c>
      <c r="AJ25" s="33">
        <f t="shared" ref="AJ25:BO25" si="19">AI25+AJ24</f>
        <v>380128.19832790049</v>
      </c>
      <c r="AK25" s="33">
        <f t="shared" si="19"/>
        <v>409637.93282722565</v>
      </c>
      <c r="AL25" s="34">
        <f t="shared" si="19"/>
        <v>440536.9558225724</v>
      </c>
      <c r="AM25" s="33">
        <f t="shared" si="19"/>
        <v>472625.20617404941</v>
      </c>
      <c r="AN25" s="33">
        <f t="shared" si="19"/>
        <v>506038.58551568509</v>
      </c>
      <c r="AO25" s="33">
        <f t="shared" si="19"/>
        <v>540793.99023575499</v>
      </c>
      <c r="AP25" s="33">
        <f t="shared" si="19"/>
        <v>576925.84362366283</v>
      </c>
      <c r="AQ25" s="33">
        <f t="shared" si="19"/>
        <v>614467.60511670937</v>
      </c>
      <c r="AR25" s="33">
        <f t="shared" si="19"/>
        <v>653433.79728795053</v>
      </c>
      <c r="AS25" s="33">
        <f t="shared" si="19"/>
        <v>693856.53607839695</v>
      </c>
      <c r="AT25" s="33">
        <f t="shared" si="19"/>
        <v>735749.03818271088</v>
      </c>
      <c r="AU25" s="33">
        <f t="shared" si="19"/>
        <v>779142.15022810397</v>
      </c>
      <c r="AV25" s="33">
        <f t="shared" si="19"/>
        <v>824065.85513622605</v>
      </c>
      <c r="AW25" s="33">
        <f t="shared" si="19"/>
        <v>870531.2963069207</v>
      </c>
      <c r="AX25" s="34">
        <f t="shared" si="19"/>
        <v>918567.30512483593</v>
      </c>
      <c r="AY25" s="33">
        <f t="shared" si="19"/>
        <v>967994.91372230323</v>
      </c>
      <c r="AZ25" s="33">
        <f t="shared" si="19"/>
        <v>1018930.8321048339</v>
      </c>
      <c r="BA25" s="33">
        <f t="shared" si="19"/>
        <v>1071373.3525278014</v>
      </c>
      <c r="BB25" s="33">
        <f t="shared" si="19"/>
        <v>1125338.8099401947</v>
      </c>
      <c r="BC25" s="33">
        <f t="shared" si="19"/>
        <v>1180843.1309172781</v>
      </c>
      <c r="BD25" s="33">
        <f t="shared" si="19"/>
        <v>1237901.8438699343</v>
      </c>
      <c r="BE25" s="33">
        <f t="shared" si="19"/>
        <v>1296512.0889987743</v>
      </c>
      <c r="BF25" s="33">
        <f t="shared" si="19"/>
        <v>1356689.0779993932</v>
      </c>
      <c r="BG25" s="33">
        <f t="shared" si="19"/>
        <v>1418447.6422749967</v>
      </c>
      <c r="BH25" s="33">
        <f t="shared" si="19"/>
        <v>1481802.2424437101</v>
      </c>
      <c r="BI25" s="33">
        <f t="shared" si="19"/>
        <v>1546748.9776082055</v>
      </c>
      <c r="BJ25" s="34">
        <f t="shared" si="19"/>
        <v>1613302.0443935886</v>
      </c>
    </row>
    <row r="27" spans="1:62" x14ac:dyDescent="0.2">
      <c r="A27" s="20" t="s">
        <v>121</v>
      </c>
      <c r="C27" s="39">
        <f t="shared" ref="C27:AH27" si="20">IF(C24&gt;0,1,0)</f>
        <v>1</v>
      </c>
      <c r="D27" s="39">
        <f t="shared" si="20"/>
        <v>1</v>
      </c>
      <c r="E27" s="39">
        <f t="shared" si="20"/>
        <v>1</v>
      </c>
      <c r="F27" s="39">
        <f t="shared" si="20"/>
        <v>1</v>
      </c>
      <c r="G27" s="39">
        <f t="shared" si="20"/>
        <v>1</v>
      </c>
      <c r="H27" s="39">
        <f t="shared" si="20"/>
        <v>1</v>
      </c>
      <c r="I27" s="39">
        <f t="shared" si="20"/>
        <v>1</v>
      </c>
      <c r="J27" s="39">
        <f t="shared" si="20"/>
        <v>1</v>
      </c>
      <c r="K27" s="39">
        <f t="shared" si="20"/>
        <v>1</v>
      </c>
      <c r="L27" s="39">
        <f t="shared" si="20"/>
        <v>1</v>
      </c>
      <c r="M27" s="39">
        <f t="shared" si="20"/>
        <v>1</v>
      </c>
      <c r="N27" s="39">
        <f t="shared" si="20"/>
        <v>1</v>
      </c>
      <c r="O27" s="39">
        <f t="shared" si="20"/>
        <v>1</v>
      </c>
      <c r="P27" s="39">
        <f t="shared" si="20"/>
        <v>1</v>
      </c>
      <c r="Q27" s="39">
        <f t="shared" si="20"/>
        <v>1</v>
      </c>
      <c r="R27" s="39">
        <f t="shared" si="20"/>
        <v>1</v>
      </c>
      <c r="S27" s="39">
        <f t="shared" si="20"/>
        <v>1</v>
      </c>
      <c r="T27" s="39">
        <f t="shared" si="20"/>
        <v>1</v>
      </c>
      <c r="U27" s="39">
        <f t="shared" si="20"/>
        <v>1</v>
      </c>
      <c r="V27" s="39">
        <f t="shared" si="20"/>
        <v>1</v>
      </c>
      <c r="W27" s="39">
        <f t="shared" si="20"/>
        <v>1</v>
      </c>
      <c r="X27" s="39">
        <f t="shared" si="20"/>
        <v>1</v>
      </c>
      <c r="Y27" s="39">
        <f t="shared" si="20"/>
        <v>1</v>
      </c>
      <c r="Z27" s="39">
        <f t="shared" si="20"/>
        <v>1</v>
      </c>
      <c r="AA27" s="39">
        <f t="shared" si="20"/>
        <v>1</v>
      </c>
      <c r="AB27" s="39">
        <f t="shared" si="20"/>
        <v>1</v>
      </c>
      <c r="AC27" s="39">
        <f t="shared" si="20"/>
        <v>1</v>
      </c>
      <c r="AD27" s="39">
        <f t="shared" si="20"/>
        <v>1</v>
      </c>
      <c r="AE27" s="39">
        <f t="shared" si="20"/>
        <v>1</v>
      </c>
      <c r="AF27" s="39">
        <f t="shared" si="20"/>
        <v>1</v>
      </c>
      <c r="AG27" s="39">
        <f t="shared" si="20"/>
        <v>1</v>
      </c>
      <c r="AH27" s="39">
        <f t="shared" si="20"/>
        <v>1</v>
      </c>
      <c r="AI27" s="39">
        <f t="shared" ref="AI27:BJ27" si="21">IF(AI24&gt;0,1,0)</f>
        <v>1</v>
      </c>
      <c r="AJ27" s="39">
        <f t="shared" si="21"/>
        <v>1</v>
      </c>
      <c r="AK27" s="39">
        <f t="shared" si="21"/>
        <v>1</v>
      </c>
      <c r="AL27" s="39">
        <f t="shared" si="21"/>
        <v>1</v>
      </c>
      <c r="AM27" s="39">
        <f t="shared" si="21"/>
        <v>1</v>
      </c>
      <c r="AN27" s="39">
        <f t="shared" si="21"/>
        <v>1</v>
      </c>
      <c r="AO27" s="39">
        <f t="shared" si="21"/>
        <v>1</v>
      </c>
      <c r="AP27" s="39">
        <f t="shared" si="21"/>
        <v>1</v>
      </c>
      <c r="AQ27" s="39">
        <f t="shared" si="21"/>
        <v>1</v>
      </c>
      <c r="AR27" s="39">
        <f t="shared" si="21"/>
        <v>1</v>
      </c>
      <c r="AS27" s="39">
        <f t="shared" si="21"/>
        <v>1</v>
      </c>
      <c r="AT27" s="39">
        <f t="shared" si="21"/>
        <v>1</v>
      </c>
      <c r="AU27" s="39">
        <f t="shared" si="21"/>
        <v>1</v>
      </c>
      <c r="AV27" s="39">
        <f t="shared" si="21"/>
        <v>1</v>
      </c>
      <c r="AW27" s="39">
        <f t="shared" si="21"/>
        <v>1</v>
      </c>
      <c r="AX27" s="39">
        <f t="shared" si="21"/>
        <v>1</v>
      </c>
      <c r="AY27" s="39">
        <f t="shared" si="21"/>
        <v>1</v>
      </c>
      <c r="AZ27" s="39">
        <f t="shared" si="21"/>
        <v>1</v>
      </c>
      <c r="BA27" s="39">
        <f t="shared" si="21"/>
        <v>1</v>
      </c>
      <c r="BB27" s="39">
        <f t="shared" si="21"/>
        <v>1</v>
      </c>
      <c r="BC27" s="39">
        <f t="shared" si="21"/>
        <v>1</v>
      </c>
      <c r="BD27" s="39">
        <f t="shared" si="21"/>
        <v>1</v>
      </c>
      <c r="BE27" s="39">
        <f t="shared" si="21"/>
        <v>1</v>
      </c>
      <c r="BF27" s="39">
        <f t="shared" si="21"/>
        <v>1</v>
      </c>
      <c r="BG27" s="39">
        <f t="shared" si="21"/>
        <v>1</v>
      </c>
      <c r="BH27" s="39">
        <f t="shared" si="21"/>
        <v>1</v>
      </c>
      <c r="BI27" s="39">
        <f t="shared" si="21"/>
        <v>1</v>
      </c>
      <c r="BJ27" s="39">
        <f t="shared" si="21"/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2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D1"/>
    </sheetView>
  </sheetViews>
  <sheetFormatPr baseColWidth="10" defaultColWidth="8.6640625" defaultRowHeight="15" x14ac:dyDescent="0.2"/>
  <cols>
    <col min="1" max="1" width="30" customWidth="1"/>
    <col min="2" max="2" width="3" customWidth="1"/>
    <col min="3" max="62" width="9.5" customWidth="1"/>
  </cols>
  <sheetData>
    <row r="1" spans="1:62" ht="21.75" customHeight="1" x14ac:dyDescent="0.2">
      <c r="A1" s="5" t="s">
        <v>122</v>
      </c>
      <c r="B1" s="5"/>
      <c r="C1" s="5"/>
      <c r="D1" s="5"/>
    </row>
    <row r="2" spans="1:62" ht="3.75" customHeight="1" x14ac:dyDescent="0.2"/>
    <row r="3" spans="1:62" x14ac:dyDescent="0.2">
      <c r="A3" s="20" t="s">
        <v>43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21">
        <v>6</v>
      </c>
      <c r="I3" s="21">
        <v>7</v>
      </c>
      <c r="J3" s="21">
        <v>8</v>
      </c>
      <c r="K3" s="21">
        <v>9</v>
      </c>
      <c r="L3" s="21">
        <v>10</v>
      </c>
      <c r="M3" s="21">
        <v>11</v>
      </c>
      <c r="N3" s="22">
        <v>12</v>
      </c>
      <c r="O3" s="21">
        <v>13</v>
      </c>
      <c r="P3" s="21">
        <v>14</v>
      </c>
      <c r="Q3" s="21">
        <v>15</v>
      </c>
      <c r="R3" s="21">
        <v>16</v>
      </c>
      <c r="S3" s="21">
        <v>17</v>
      </c>
      <c r="T3" s="21">
        <v>18</v>
      </c>
      <c r="U3" s="21">
        <v>19</v>
      </c>
      <c r="V3" s="21">
        <v>20</v>
      </c>
      <c r="W3" s="21">
        <v>21</v>
      </c>
      <c r="X3" s="21">
        <v>22</v>
      </c>
      <c r="Y3" s="21">
        <v>23</v>
      </c>
      <c r="Z3" s="22">
        <v>24</v>
      </c>
      <c r="AA3" s="21">
        <v>25</v>
      </c>
      <c r="AB3" s="21">
        <v>26</v>
      </c>
      <c r="AC3" s="21">
        <v>27</v>
      </c>
      <c r="AD3" s="21">
        <v>28</v>
      </c>
      <c r="AE3" s="21">
        <v>29</v>
      </c>
      <c r="AF3" s="21">
        <v>30</v>
      </c>
      <c r="AG3" s="21">
        <v>31</v>
      </c>
      <c r="AH3" s="21">
        <v>32</v>
      </c>
      <c r="AI3" s="21">
        <v>33</v>
      </c>
      <c r="AJ3" s="21">
        <v>34</v>
      </c>
      <c r="AK3" s="21">
        <v>35</v>
      </c>
      <c r="AL3" s="22">
        <v>36</v>
      </c>
      <c r="AM3" s="21">
        <v>37</v>
      </c>
      <c r="AN3" s="21">
        <v>38</v>
      </c>
      <c r="AO3" s="21">
        <v>39</v>
      </c>
      <c r="AP3" s="21">
        <v>40</v>
      </c>
      <c r="AQ3" s="21">
        <v>41</v>
      </c>
      <c r="AR3" s="21">
        <v>42</v>
      </c>
      <c r="AS3" s="21">
        <v>43</v>
      </c>
      <c r="AT3" s="21">
        <v>44</v>
      </c>
      <c r="AU3" s="21">
        <v>45</v>
      </c>
      <c r="AV3" s="21">
        <v>46</v>
      </c>
      <c r="AW3" s="21">
        <v>47</v>
      </c>
      <c r="AX3" s="22">
        <v>48</v>
      </c>
      <c r="AY3" s="21">
        <v>49</v>
      </c>
      <c r="AZ3" s="21">
        <v>50</v>
      </c>
      <c r="BA3" s="21">
        <v>51</v>
      </c>
      <c r="BB3" s="21">
        <v>52</v>
      </c>
      <c r="BC3" s="21">
        <v>53</v>
      </c>
      <c r="BD3" s="21">
        <v>54</v>
      </c>
      <c r="BE3" s="21">
        <v>55</v>
      </c>
      <c r="BF3" s="21">
        <v>56</v>
      </c>
      <c r="BG3" s="21">
        <v>57</v>
      </c>
      <c r="BH3" s="21">
        <v>58</v>
      </c>
      <c r="BI3" s="21">
        <v>59</v>
      </c>
      <c r="BJ3" s="22">
        <v>60</v>
      </c>
    </row>
    <row r="4" spans="1:62" x14ac:dyDescent="0.2">
      <c r="A4" s="20" t="s">
        <v>44</v>
      </c>
      <c r="C4" s="23" t="s">
        <v>45</v>
      </c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  <c r="I4" s="23" t="s">
        <v>51</v>
      </c>
      <c r="J4" s="23" t="s">
        <v>52</v>
      </c>
      <c r="K4" s="23" t="s">
        <v>53</v>
      </c>
      <c r="L4" s="23" t="s">
        <v>54</v>
      </c>
      <c r="M4" s="23" t="s">
        <v>55</v>
      </c>
      <c r="N4" s="22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3" t="s">
        <v>65</v>
      </c>
      <c r="X4" s="23" t="s">
        <v>66</v>
      </c>
      <c r="Y4" s="23" t="s">
        <v>67</v>
      </c>
      <c r="Z4" s="22" t="s">
        <v>68</v>
      </c>
      <c r="AA4" s="23" t="s">
        <v>69</v>
      </c>
      <c r="AB4" s="23" t="s">
        <v>70</v>
      </c>
      <c r="AC4" s="23" t="s">
        <v>71</v>
      </c>
      <c r="AD4" s="23" t="s">
        <v>72</v>
      </c>
      <c r="AE4" s="23" t="s">
        <v>73</v>
      </c>
      <c r="AF4" s="23" t="s">
        <v>74</v>
      </c>
      <c r="AG4" s="23" t="s">
        <v>75</v>
      </c>
      <c r="AH4" s="23" t="s">
        <v>76</v>
      </c>
      <c r="AI4" s="23" t="s">
        <v>77</v>
      </c>
      <c r="AJ4" s="23" t="s">
        <v>78</v>
      </c>
      <c r="AK4" s="23" t="s">
        <v>79</v>
      </c>
      <c r="AL4" s="22" t="s">
        <v>80</v>
      </c>
      <c r="AM4" s="23" t="s">
        <v>81</v>
      </c>
      <c r="AN4" s="23" t="s">
        <v>82</v>
      </c>
      <c r="AO4" s="23" t="s">
        <v>83</v>
      </c>
      <c r="AP4" s="23" t="s">
        <v>84</v>
      </c>
      <c r="AQ4" s="23" t="s">
        <v>85</v>
      </c>
      <c r="AR4" s="23" t="s">
        <v>86</v>
      </c>
      <c r="AS4" s="23" t="s">
        <v>87</v>
      </c>
      <c r="AT4" s="23" t="s">
        <v>88</v>
      </c>
      <c r="AU4" s="23" t="s">
        <v>89</v>
      </c>
      <c r="AV4" s="23" t="s">
        <v>90</v>
      </c>
      <c r="AW4" s="23" t="s">
        <v>91</v>
      </c>
      <c r="AX4" s="22" t="s">
        <v>92</v>
      </c>
      <c r="AY4" s="23" t="s">
        <v>93</v>
      </c>
      <c r="AZ4" s="23" t="s">
        <v>94</v>
      </c>
      <c r="BA4" s="23" t="s">
        <v>95</v>
      </c>
      <c r="BB4" s="23" t="s">
        <v>96</v>
      </c>
      <c r="BC4" s="23" t="s">
        <v>97</v>
      </c>
      <c r="BD4" s="23" t="s">
        <v>98</v>
      </c>
      <c r="BE4" s="23" t="s">
        <v>99</v>
      </c>
      <c r="BF4" s="23" t="s">
        <v>100</v>
      </c>
      <c r="BG4" s="23" t="s">
        <v>101</v>
      </c>
      <c r="BH4" s="23" t="s">
        <v>102</v>
      </c>
      <c r="BI4" s="23" t="s">
        <v>103</v>
      </c>
      <c r="BJ4" s="22" t="s">
        <v>104</v>
      </c>
    </row>
    <row r="5" spans="1:62" x14ac:dyDescent="0.2">
      <c r="A5" s="20" t="s">
        <v>105</v>
      </c>
      <c r="C5" s="24">
        <f t="shared" ref="C5:AH5" si="0">ROUNDUP(C3/12,0)</f>
        <v>1</v>
      </c>
      <c r="D5" s="24">
        <f t="shared" si="0"/>
        <v>1</v>
      </c>
      <c r="E5" s="24">
        <f t="shared" si="0"/>
        <v>1</v>
      </c>
      <c r="F5" s="24">
        <f t="shared" si="0"/>
        <v>1</v>
      </c>
      <c r="G5" s="24">
        <f t="shared" si="0"/>
        <v>1</v>
      </c>
      <c r="H5" s="24">
        <f t="shared" si="0"/>
        <v>1</v>
      </c>
      <c r="I5" s="24">
        <f t="shared" si="0"/>
        <v>1</v>
      </c>
      <c r="J5" s="24">
        <f t="shared" si="0"/>
        <v>1</v>
      </c>
      <c r="K5" s="24">
        <f t="shared" si="0"/>
        <v>1</v>
      </c>
      <c r="L5" s="24">
        <f t="shared" si="0"/>
        <v>1</v>
      </c>
      <c r="M5" s="24">
        <f t="shared" si="0"/>
        <v>1</v>
      </c>
      <c r="N5" s="25">
        <f t="shared" si="0"/>
        <v>1</v>
      </c>
      <c r="O5" s="24">
        <f t="shared" si="0"/>
        <v>2</v>
      </c>
      <c r="P5" s="24">
        <f t="shared" si="0"/>
        <v>2</v>
      </c>
      <c r="Q5" s="24">
        <f t="shared" si="0"/>
        <v>2</v>
      </c>
      <c r="R5" s="24">
        <f t="shared" si="0"/>
        <v>2</v>
      </c>
      <c r="S5" s="24">
        <f t="shared" si="0"/>
        <v>2</v>
      </c>
      <c r="T5" s="24">
        <f t="shared" si="0"/>
        <v>2</v>
      </c>
      <c r="U5" s="24">
        <f t="shared" si="0"/>
        <v>2</v>
      </c>
      <c r="V5" s="24">
        <f t="shared" si="0"/>
        <v>2</v>
      </c>
      <c r="W5" s="24">
        <f t="shared" si="0"/>
        <v>2</v>
      </c>
      <c r="X5" s="24">
        <f t="shared" si="0"/>
        <v>2</v>
      </c>
      <c r="Y5" s="24">
        <f t="shared" si="0"/>
        <v>2</v>
      </c>
      <c r="Z5" s="25">
        <f t="shared" si="0"/>
        <v>2</v>
      </c>
      <c r="AA5" s="24">
        <f t="shared" si="0"/>
        <v>3</v>
      </c>
      <c r="AB5" s="24">
        <f t="shared" si="0"/>
        <v>3</v>
      </c>
      <c r="AC5" s="24">
        <f t="shared" si="0"/>
        <v>3</v>
      </c>
      <c r="AD5" s="24">
        <f t="shared" si="0"/>
        <v>3</v>
      </c>
      <c r="AE5" s="24">
        <f t="shared" si="0"/>
        <v>3</v>
      </c>
      <c r="AF5" s="24">
        <f t="shared" si="0"/>
        <v>3</v>
      </c>
      <c r="AG5" s="24">
        <f t="shared" si="0"/>
        <v>3</v>
      </c>
      <c r="AH5" s="24">
        <f t="shared" si="0"/>
        <v>3</v>
      </c>
      <c r="AI5" s="24">
        <f t="shared" ref="AI5:BJ5" si="1">ROUNDUP(AI3/12,0)</f>
        <v>3</v>
      </c>
      <c r="AJ5" s="24">
        <f t="shared" si="1"/>
        <v>3</v>
      </c>
      <c r="AK5" s="24">
        <f t="shared" si="1"/>
        <v>3</v>
      </c>
      <c r="AL5" s="25">
        <f t="shared" si="1"/>
        <v>3</v>
      </c>
      <c r="AM5" s="24">
        <f t="shared" si="1"/>
        <v>4</v>
      </c>
      <c r="AN5" s="24">
        <f t="shared" si="1"/>
        <v>4</v>
      </c>
      <c r="AO5" s="24">
        <f t="shared" si="1"/>
        <v>4</v>
      </c>
      <c r="AP5" s="24">
        <f t="shared" si="1"/>
        <v>4</v>
      </c>
      <c r="AQ5" s="24">
        <f t="shared" si="1"/>
        <v>4</v>
      </c>
      <c r="AR5" s="24">
        <f t="shared" si="1"/>
        <v>4</v>
      </c>
      <c r="AS5" s="24">
        <f t="shared" si="1"/>
        <v>4</v>
      </c>
      <c r="AT5" s="24">
        <f t="shared" si="1"/>
        <v>4</v>
      </c>
      <c r="AU5" s="24">
        <f t="shared" si="1"/>
        <v>4</v>
      </c>
      <c r="AV5" s="24">
        <f t="shared" si="1"/>
        <v>4</v>
      </c>
      <c r="AW5" s="24">
        <f t="shared" si="1"/>
        <v>4</v>
      </c>
      <c r="AX5" s="25">
        <f t="shared" si="1"/>
        <v>4</v>
      </c>
      <c r="AY5" s="24">
        <f t="shared" si="1"/>
        <v>5</v>
      </c>
      <c r="AZ5" s="24">
        <f t="shared" si="1"/>
        <v>5</v>
      </c>
      <c r="BA5" s="24">
        <f t="shared" si="1"/>
        <v>5</v>
      </c>
      <c r="BB5" s="24">
        <f t="shared" si="1"/>
        <v>5</v>
      </c>
      <c r="BC5" s="24">
        <f t="shared" si="1"/>
        <v>5</v>
      </c>
      <c r="BD5" s="24">
        <f t="shared" si="1"/>
        <v>5</v>
      </c>
      <c r="BE5" s="24">
        <f t="shared" si="1"/>
        <v>5</v>
      </c>
      <c r="BF5" s="24">
        <f t="shared" si="1"/>
        <v>5</v>
      </c>
      <c r="BG5" s="24">
        <f t="shared" si="1"/>
        <v>5</v>
      </c>
      <c r="BH5" s="24">
        <f t="shared" si="1"/>
        <v>5</v>
      </c>
      <c r="BI5" s="24">
        <f t="shared" si="1"/>
        <v>5</v>
      </c>
      <c r="BJ5" s="25">
        <f t="shared" si="1"/>
        <v>5</v>
      </c>
    </row>
    <row r="6" spans="1:62" x14ac:dyDescent="0.2">
      <c r="A6" s="20" t="s">
        <v>106</v>
      </c>
      <c r="C6" s="24">
        <f t="shared" ref="C6:AH6" si="2">C3-(C5-1)*12</f>
        <v>1</v>
      </c>
      <c r="D6" s="24">
        <f t="shared" si="2"/>
        <v>2</v>
      </c>
      <c r="E6" s="24">
        <f t="shared" si="2"/>
        <v>3</v>
      </c>
      <c r="F6" s="24">
        <f t="shared" si="2"/>
        <v>4</v>
      </c>
      <c r="G6" s="24">
        <f t="shared" si="2"/>
        <v>5</v>
      </c>
      <c r="H6" s="24">
        <f t="shared" si="2"/>
        <v>6</v>
      </c>
      <c r="I6" s="24">
        <f t="shared" si="2"/>
        <v>7</v>
      </c>
      <c r="J6" s="24">
        <f t="shared" si="2"/>
        <v>8</v>
      </c>
      <c r="K6" s="24">
        <f t="shared" si="2"/>
        <v>9</v>
      </c>
      <c r="L6" s="24">
        <f t="shared" si="2"/>
        <v>10</v>
      </c>
      <c r="M6" s="24">
        <f t="shared" si="2"/>
        <v>11</v>
      </c>
      <c r="N6" s="25">
        <f t="shared" si="2"/>
        <v>12</v>
      </c>
      <c r="O6" s="24">
        <f t="shared" si="2"/>
        <v>1</v>
      </c>
      <c r="P6" s="24">
        <f t="shared" si="2"/>
        <v>2</v>
      </c>
      <c r="Q6" s="24">
        <f t="shared" si="2"/>
        <v>3</v>
      </c>
      <c r="R6" s="24">
        <f t="shared" si="2"/>
        <v>4</v>
      </c>
      <c r="S6" s="24">
        <f t="shared" si="2"/>
        <v>5</v>
      </c>
      <c r="T6" s="24">
        <f t="shared" si="2"/>
        <v>6</v>
      </c>
      <c r="U6" s="24">
        <f t="shared" si="2"/>
        <v>7</v>
      </c>
      <c r="V6" s="24">
        <f t="shared" si="2"/>
        <v>8</v>
      </c>
      <c r="W6" s="24">
        <f t="shared" si="2"/>
        <v>9</v>
      </c>
      <c r="X6" s="24">
        <f t="shared" si="2"/>
        <v>10</v>
      </c>
      <c r="Y6" s="24">
        <f t="shared" si="2"/>
        <v>11</v>
      </c>
      <c r="Z6" s="25">
        <f t="shared" si="2"/>
        <v>12</v>
      </c>
      <c r="AA6" s="24">
        <f t="shared" si="2"/>
        <v>1</v>
      </c>
      <c r="AB6" s="24">
        <f t="shared" si="2"/>
        <v>2</v>
      </c>
      <c r="AC6" s="24">
        <f t="shared" si="2"/>
        <v>3</v>
      </c>
      <c r="AD6" s="24">
        <f t="shared" si="2"/>
        <v>4</v>
      </c>
      <c r="AE6" s="24">
        <f t="shared" si="2"/>
        <v>5</v>
      </c>
      <c r="AF6" s="24">
        <f t="shared" si="2"/>
        <v>6</v>
      </c>
      <c r="AG6" s="24">
        <f t="shared" si="2"/>
        <v>7</v>
      </c>
      <c r="AH6" s="24">
        <f t="shared" si="2"/>
        <v>8</v>
      </c>
      <c r="AI6" s="24">
        <f t="shared" ref="AI6:BN6" si="3">AI3-(AI5-1)*12</f>
        <v>9</v>
      </c>
      <c r="AJ6" s="24">
        <f t="shared" si="3"/>
        <v>10</v>
      </c>
      <c r="AK6" s="24">
        <f t="shared" si="3"/>
        <v>11</v>
      </c>
      <c r="AL6" s="25">
        <f t="shared" si="3"/>
        <v>12</v>
      </c>
      <c r="AM6" s="24">
        <f t="shared" si="3"/>
        <v>1</v>
      </c>
      <c r="AN6" s="24">
        <f t="shared" si="3"/>
        <v>2</v>
      </c>
      <c r="AO6" s="24">
        <f t="shared" si="3"/>
        <v>3</v>
      </c>
      <c r="AP6" s="24">
        <f t="shared" si="3"/>
        <v>4</v>
      </c>
      <c r="AQ6" s="24">
        <f t="shared" si="3"/>
        <v>5</v>
      </c>
      <c r="AR6" s="24">
        <f t="shared" si="3"/>
        <v>6</v>
      </c>
      <c r="AS6" s="24">
        <f t="shared" si="3"/>
        <v>7</v>
      </c>
      <c r="AT6" s="24">
        <f t="shared" si="3"/>
        <v>8</v>
      </c>
      <c r="AU6" s="24">
        <f t="shared" si="3"/>
        <v>9</v>
      </c>
      <c r="AV6" s="24">
        <f t="shared" si="3"/>
        <v>10</v>
      </c>
      <c r="AW6" s="24">
        <f t="shared" si="3"/>
        <v>11</v>
      </c>
      <c r="AX6" s="25">
        <f t="shared" si="3"/>
        <v>12</v>
      </c>
      <c r="AY6" s="24">
        <f t="shared" si="3"/>
        <v>1</v>
      </c>
      <c r="AZ6" s="24">
        <f t="shared" si="3"/>
        <v>2</v>
      </c>
      <c r="BA6" s="24">
        <f t="shared" si="3"/>
        <v>3</v>
      </c>
      <c r="BB6" s="24">
        <f t="shared" si="3"/>
        <v>4</v>
      </c>
      <c r="BC6" s="24">
        <f t="shared" si="3"/>
        <v>5</v>
      </c>
      <c r="BD6" s="24">
        <f t="shared" si="3"/>
        <v>6</v>
      </c>
      <c r="BE6" s="24">
        <f t="shared" si="3"/>
        <v>7</v>
      </c>
      <c r="BF6" s="24">
        <f t="shared" si="3"/>
        <v>8</v>
      </c>
      <c r="BG6" s="24">
        <f t="shared" si="3"/>
        <v>9</v>
      </c>
      <c r="BH6" s="24">
        <f t="shared" si="3"/>
        <v>10</v>
      </c>
      <c r="BI6" s="24">
        <f t="shared" si="3"/>
        <v>11</v>
      </c>
      <c r="BJ6" s="25">
        <f t="shared" si="3"/>
        <v>12</v>
      </c>
    </row>
    <row r="7" spans="1:62" x14ac:dyDescent="0.2">
      <c r="N7" s="26"/>
      <c r="Z7" s="26"/>
      <c r="AL7" s="26"/>
      <c r="AX7" s="26"/>
      <c r="BJ7" s="26"/>
    </row>
    <row r="8" spans="1:62" x14ac:dyDescent="0.2">
      <c r="A8" s="20" t="s">
        <v>107</v>
      </c>
      <c r="C8" s="27">
        <f>ROUND(INDEX(Assumptions!$B$25:$F$25,1,C5)+(INDEX(Assumptions!$B$26:$F$26,1,C5)-INDEX(Assumptions!$B$25:$F$25,1,C5))*(C6-1)/11,1)</f>
        <v>1</v>
      </c>
      <c r="D8" s="27">
        <f>ROUND(INDEX(Assumptions!$B$25:$F$25,1,D5)+(INDEX(Assumptions!$B$26:$F$26,1,D5)-INDEX(Assumptions!$B$25:$F$25,1,D5))*(D6-1)/11,1)</f>
        <v>1.4</v>
      </c>
      <c r="E8" s="27">
        <f>ROUND(INDEX(Assumptions!$B$25:$F$25,1,E5)+(INDEX(Assumptions!$B$26:$F$26,1,E5)-INDEX(Assumptions!$B$25:$F$25,1,E5))*(E6-1)/11,1)</f>
        <v>1.7</v>
      </c>
      <c r="F8" s="27">
        <f>ROUND(INDEX(Assumptions!$B$25:$F$25,1,F5)+(INDEX(Assumptions!$B$26:$F$26,1,F5)-INDEX(Assumptions!$B$25:$F$25,1,F5))*(F6-1)/11,1)</f>
        <v>2.1</v>
      </c>
      <c r="G8" s="27">
        <f>ROUND(INDEX(Assumptions!$B$25:$F$25,1,G5)+(INDEX(Assumptions!$B$26:$F$26,1,G5)-INDEX(Assumptions!$B$25:$F$25,1,G5))*(G6-1)/11,1)</f>
        <v>2.5</v>
      </c>
      <c r="H8" s="27">
        <f>ROUND(INDEX(Assumptions!$B$25:$F$25,1,H5)+(INDEX(Assumptions!$B$26:$F$26,1,H5)-INDEX(Assumptions!$B$25:$F$25,1,H5))*(H6-1)/11,1)</f>
        <v>2.8</v>
      </c>
      <c r="I8" s="27">
        <f>ROUND(INDEX(Assumptions!$B$25:$F$25,1,I5)+(INDEX(Assumptions!$B$26:$F$26,1,I5)-INDEX(Assumptions!$B$25:$F$25,1,I5))*(I6-1)/11,1)</f>
        <v>3.2</v>
      </c>
      <c r="J8" s="27">
        <f>ROUND(INDEX(Assumptions!$B$25:$F$25,1,J5)+(INDEX(Assumptions!$B$26:$F$26,1,J5)-INDEX(Assumptions!$B$25:$F$25,1,J5))*(J6-1)/11,1)</f>
        <v>3.5</v>
      </c>
      <c r="K8" s="27">
        <f>ROUND(INDEX(Assumptions!$B$25:$F$25,1,K5)+(INDEX(Assumptions!$B$26:$F$26,1,K5)-INDEX(Assumptions!$B$25:$F$25,1,K5))*(K6-1)/11,1)</f>
        <v>3.9</v>
      </c>
      <c r="L8" s="27">
        <f>ROUND(INDEX(Assumptions!$B$25:$F$25,1,L5)+(INDEX(Assumptions!$B$26:$F$26,1,L5)-INDEX(Assumptions!$B$25:$F$25,1,L5))*(L6-1)/11,1)</f>
        <v>4.3</v>
      </c>
      <c r="M8" s="27">
        <f>ROUND(INDEX(Assumptions!$B$25:$F$25,1,M5)+(INDEX(Assumptions!$B$26:$F$26,1,M5)-INDEX(Assumptions!$B$25:$F$25,1,M5))*(M6-1)/11,1)</f>
        <v>4.5999999999999996</v>
      </c>
      <c r="N8" s="28">
        <f>ROUND(INDEX(Assumptions!$B$25:$F$25,1,N5)+(INDEX(Assumptions!$B$26:$F$26,1,N5)-INDEX(Assumptions!$B$25:$F$25,1,N5))*(N6-1)/11,1)</f>
        <v>5</v>
      </c>
      <c r="O8" s="27">
        <f>ROUND(INDEX(Assumptions!$B$25:$F$25,1,O5)+(INDEX(Assumptions!$B$26:$F$26,1,O5)-INDEX(Assumptions!$B$25:$F$25,1,O5))*(O6-1)/11,1)</f>
        <v>6</v>
      </c>
      <c r="P8" s="27">
        <f>ROUND(INDEX(Assumptions!$B$25:$F$25,1,P5)+(INDEX(Assumptions!$B$26:$F$26,1,P5)-INDEX(Assumptions!$B$25:$F$25,1,P5))*(P6-1)/11,1)</f>
        <v>6.7</v>
      </c>
      <c r="Q8" s="27">
        <f>ROUND(INDEX(Assumptions!$B$25:$F$25,1,Q5)+(INDEX(Assumptions!$B$26:$F$26,1,Q5)-INDEX(Assumptions!$B$25:$F$25,1,Q5))*(Q6-1)/11,1)</f>
        <v>7.5</v>
      </c>
      <c r="R8" s="27">
        <f>ROUND(INDEX(Assumptions!$B$25:$F$25,1,R5)+(INDEX(Assumptions!$B$26:$F$26,1,R5)-INDEX(Assumptions!$B$25:$F$25,1,R5))*(R6-1)/11,1)</f>
        <v>8.1999999999999993</v>
      </c>
      <c r="S8" s="27">
        <f>ROUND(INDEX(Assumptions!$B$25:$F$25,1,S5)+(INDEX(Assumptions!$B$26:$F$26,1,S5)-INDEX(Assumptions!$B$25:$F$25,1,S5))*(S6-1)/11,1)</f>
        <v>8.9</v>
      </c>
      <c r="T8" s="27">
        <f>ROUND(INDEX(Assumptions!$B$25:$F$25,1,T5)+(INDEX(Assumptions!$B$26:$F$26,1,T5)-INDEX(Assumptions!$B$25:$F$25,1,T5))*(T6-1)/11,1)</f>
        <v>9.6</v>
      </c>
      <c r="U8" s="27">
        <f>ROUND(INDEX(Assumptions!$B$25:$F$25,1,U5)+(INDEX(Assumptions!$B$26:$F$26,1,U5)-INDEX(Assumptions!$B$25:$F$25,1,U5))*(U6-1)/11,1)</f>
        <v>10.4</v>
      </c>
      <c r="V8" s="27">
        <f>ROUND(INDEX(Assumptions!$B$25:$F$25,1,V5)+(INDEX(Assumptions!$B$26:$F$26,1,V5)-INDEX(Assumptions!$B$25:$F$25,1,V5))*(V6-1)/11,1)</f>
        <v>11.1</v>
      </c>
      <c r="W8" s="27">
        <f>ROUND(INDEX(Assumptions!$B$25:$F$25,1,W5)+(INDEX(Assumptions!$B$26:$F$26,1,W5)-INDEX(Assumptions!$B$25:$F$25,1,W5))*(W6-1)/11,1)</f>
        <v>11.8</v>
      </c>
      <c r="X8" s="27">
        <f>ROUND(INDEX(Assumptions!$B$25:$F$25,1,X5)+(INDEX(Assumptions!$B$26:$F$26,1,X5)-INDEX(Assumptions!$B$25:$F$25,1,X5))*(X6-1)/11,1)</f>
        <v>12.5</v>
      </c>
      <c r="Y8" s="27">
        <f>ROUND(INDEX(Assumptions!$B$25:$F$25,1,Y5)+(INDEX(Assumptions!$B$26:$F$26,1,Y5)-INDEX(Assumptions!$B$25:$F$25,1,Y5))*(Y6-1)/11,1)</f>
        <v>13.3</v>
      </c>
      <c r="Z8" s="28">
        <f>ROUND(INDEX(Assumptions!$B$25:$F$25,1,Z5)+(INDEX(Assumptions!$B$26:$F$26,1,Z5)-INDEX(Assumptions!$B$25:$F$25,1,Z5))*(Z6-1)/11,1)</f>
        <v>14</v>
      </c>
      <c r="AA8" s="27">
        <f>ROUND(INDEX(Assumptions!$B$25:$F$25,1,AA5)+(INDEX(Assumptions!$B$26:$F$26,1,AA5)-INDEX(Assumptions!$B$25:$F$25,1,AA5))*(AA6-1)/11,1)</f>
        <v>14</v>
      </c>
      <c r="AB8" s="27">
        <f>ROUND(INDEX(Assumptions!$B$25:$F$25,1,AB5)+(INDEX(Assumptions!$B$26:$F$26,1,AB5)-INDEX(Assumptions!$B$25:$F$25,1,AB5))*(AB6-1)/11,1)</f>
        <v>14.9</v>
      </c>
      <c r="AC8" s="27">
        <f>ROUND(INDEX(Assumptions!$B$25:$F$25,1,AC5)+(INDEX(Assumptions!$B$26:$F$26,1,AC5)-INDEX(Assumptions!$B$25:$F$25,1,AC5))*(AC6-1)/11,1)</f>
        <v>15.8</v>
      </c>
      <c r="AD8" s="27">
        <f>ROUND(INDEX(Assumptions!$B$25:$F$25,1,AD5)+(INDEX(Assumptions!$B$26:$F$26,1,AD5)-INDEX(Assumptions!$B$25:$F$25,1,AD5))*(AD6-1)/11,1)</f>
        <v>16.7</v>
      </c>
      <c r="AE8" s="27">
        <f>ROUND(INDEX(Assumptions!$B$25:$F$25,1,AE5)+(INDEX(Assumptions!$B$26:$F$26,1,AE5)-INDEX(Assumptions!$B$25:$F$25,1,AE5))*(AE6-1)/11,1)</f>
        <v>17.600000000000001</v>
      </c>
      <c r="AF8" s="27">
        <f>ROUND(INDEX(Assumptions!$B$25:$F$25,1,AF5)+(INDEX(Assumptions!$B$26:$F$26,1,AF5)-INDEX(Assumptions!$B$25:$F$25,1,AF5))*(AF6-1)/11,1)</f>
        <v>18.5</v>
      </c>
      <c r="AG8" s="27">
        <f>ROUND(INDEX(Assumptions!$B$25:$F$25,1,AG5)+(INDEX(Assumptions!$B$26:$F$26,1,AG5)-INDEX(Assumptions!$B$25:$F$25,1,AG5))*(AG6-1)/11,1)</f>
        <v>19.5</v>
      </c>
      <c r="AH8" s="27">
        <f>ROUND(INDEX(Assumptions!$B$25:$F$25,1,AH5)+(INDEX(Assumptions!$B$26:$F$26,1,AH5)-INDEX(Assumptions!$B$25:$F$25,1,AH5))*(AH6-1)/11,1)</f>
        <v>20.399999999999999</v>
      </c>
      <c r="AI8" s="27">
        <f>ROUND(INDEX(Assumptions!$B$25:$F$25,1,AI5)+(INDEX(Assumptions!$B$26:$F$26,1,AI5)-INDEX(Assumptions!$B$25:$F$25,1,AI5))*(AI6-1)/11,1)</f>
        <v>21.3</v>
      </c>
      <c r="AJ8" s="27">
        <f>ROUND(INDEX(Assumptions!$B$25:$F$25,1,AJ5)+(INDEX(Assumptions!$B$26:$F$26,1,AJ5)-INDEX(Assumptions!$B$25:$F$25,1,AJ5))*(AJ6-1)/11,1)</f>
        <v>22.2</v>
      </c>
      <c r="AK8" s="27">
        <f>ROUND(INDEX(Assumptions!$B$25:$F$25,1,AK5)+(INDEX(Assumptions!$B$26:$F$26,1,AK5)-INDEX(Assumptions!$B$25:$F$25,1,AK5))*(AK6-1)/11,1)</f>
        <v>23.1</v>
      </c>
      <c r="AL8" s="28">
        <f>ROUND(INDEX(Assumptions!$B$25:$F$25,1,AL5)+(INDEX(Assumptions!$B$26:$F$26,1,AL5)-INDEX(Assumptions!$B$25:$F$25,1,AL5))*(AL6-1)/11,1)</f>
        <v>24</v>
      </c>
      <c r="AM8" s="27">
        <f>ROUND(INDEX(Assumptions!$B$25:$F$25,1,AM5)+(INDEX(Assumptions!$B$26:$F$26,1,AM5)-INDEX(Assumptions!$B$25:$F$25,1,AM5))*(AM6-1)/11,1)</f>
        <v>22</v>
      </c>
      <c r="AN8" s="27">
        <f>ROUND(INDEX(Assumptions!$B$25:$F$25,1,AN5)+(INDEX(Assumptions!$B$26:$F$26,1,AN5)-INDEX(Assumptions!$B$25:$F$25,1,AN5))*(AN6-1)/11,1)</f>
        <v>22.9</v>
      </c>
      <c r="AO8" s="27">
        <f>ROUND(INDEX(Assumptions!$B$25:$F$25,1,AO5)+(INDEX(Assumptions!$B$26:$F$26,1,AO5)-INDEX(Assumptions!$B$25:$F$25,1,AO5))*(AO6-1)/11,1)</f>
        <v>23.8</v>
      </c>
      <c r="AP8" s="27">
        <f>ROUND(INDEX(Assumptions!$B$25:$F$25,1,AP5)+(INDEX(Assumptions!$B$26:$F$26,1,AP5)-INDEX(Assumptions!$B$25:$F$25,1,AP5))*(AP6-1)/11,1)</f>
        <v>24.7</v>
      </c>
      <c r="AQ8" s="27">
        <f>ROUND(INDEX(Assumptions!$B$25:$F$25,1,AQ5)+(INDEX(Assumptions!$B$26:$F$26,1,AQ5)-INDEX(Assumptions!$B$25:$F$25,1,AQ5))*(AQ6-1)/11,1)</f>
        <v>25.6</v>
      </c>
      <c r="AR8" s="27">
        <f>ROUND(INDEX(Assumptions!$B$25:$F$25,1,AR5)+(INDEX(Assumptions!$B$26:$F$26,1,AR5)-INDEX(Assumptions!$B$25:$F$25,1,AR5))*(AR6-1)/11,1)</f>
        <v>26.5</v>
      </c>
      <c r="AS8" s="27">
        <f>ROUND(INDEX(Assumptions!$B$25:$F$25,1,AS5)+(INDEX(Assumptions!$B$26:$F$26,1,AS5)-INDEX(Assumptions!$B$25:$F$25,1,AS5))*(AS6-1)/11,1)</f>
        <v>27.5</v>
      </c>
      <c r="AT8" s="27">
        <f>ROUND(INDEX(Assumptions!$B$25:$F$25,1,AT5)+(INDEX(Assumptions!$B$26:$F$26,1,AT5)-INDEX(Assumptions!$B$25:$F$25,1,AT5))*(AT6-1)/11,1)</f>
        <v>28.4</v>
      </c>
      <c r="AU8" s="27">
        <f>ROUND(INDEX(Assumptions!$B$25:$F$25,1,AU5)+(INDEX(Assumptions!$B$26:$F$26,1,AU5)-INDEX(Assumptions!$B$25:$F$25,1,AU5))*(AU6-1)/11,1)</f>
        <v>29.3</v>
      </c>
      <c r="AV8" s="27">
        <f>ROUND(INDEX(Assumptions!$B$25:$F$25,1,AV5)+(INDEX(Assumptions!$B$26:$F$26,1,AV5)-INDEX(Assumptions!$B$25:$F$25,1,AV5))*(AV6-1)/11,1)</f>
        <v>30.2</v>
      </c>
      <c r="AW8" s="27">
        <f>ROUND(INDEX(Assumptions!$B$25:$F$25,1,AW5)+(INDEX(Assumptions!$B$26:$F$26,1,AW5)-INDEX(Assumptions!$B$25:$F$25,1,AW5))*(AW6-1)/11,1)</f>
        <v>31.1</v>
      </c>
      <c r="AX8" s="28">
        <f>ROUND(INDEX(Assumptions!$B$25:$F$25,1,AX5)+(INDEX(Assumptions!$B$26:$F$26,1,AX5)-INDEX(Assumptions!$B$25:$F$25,1,AX5))*(AX6-1)/11,1)</f>
        <v>32</v>
      </c>
      <c r="AY8" s="27">
        <f>ROUND(INDEX(Assumptions!$B$25:$F$25,1,AY5)+(INDEX(Assumptions!$B$26:$F$26,1,AY5)-INDEX(Assumptions!$B$25:$F$25,1,AY5))*(AY6-1)/11,1)</f>
        <v>30</v>
      </c>
      <c r="AZ8" s="27">
        <f>ROUND(INDEX(Assumptions!$B$25:$F$25,1,AZ5)+(INDEX(Assumptions!$B$26:$F$26,1,AZ5)-INDEX(Assumptions!$B$25:$F$25,1,AZ5))*(AZ6-1)/11,1)</f>
        <v>30.9</v>
      </c>
      <c r="BA8" s="27">
        <f>ROUND(INDEX(Assumptions!$B$25:$F$25,1,BA5)+(INDEX(Assumptions!$B$26:$F$26,1,BA5)-INDEX(Assumptions!$B$25:$F$25,1,BA5))*(BA6-1)/11,1)</f>
        <v>31.8</v>
      </c>
      <c r="BB8" s="27">
        <f>ROUND(INDEX(Assumptions!$B$25:$F$25,1,BB5)+(INDEX(Assumptions!$B$26:$F$26,1,BB5)-INDEX(Assumptions!$B$25:$F$25,1,BB5))*(BB6-1)/11,1)</f>
        <v>32.700000000000003</v>
      </c>
      <c r="BC8" s="27">
        <f>ROUND(INDEX(Assumptions!$B$25:$F$25,1,BC5)+(INDEX(Assumptions!$B$26:$F$26,1,BC5)-INDEX(Assumptions!$B$25:$F$25,1,BC5))*(BC6-1)/11,1)</f>
        <v>33.6</v>
      </c>
      <c r="BD8" s="27">
        <f>ROUND(INDEX(Assumptions!$B$25:$F$25,1,BD5)+(INDEX(Assumptions!$B$26:$F$26,1,BD5)-INDEX(Assumptions!$B$25:$F$25,1,BD5))*(BD6-1)/11,1)</f>
        <v>34.5</v>
      </c>
      <c r="BE8" s="27">
        <f>ROUND(INDEX(Assumptions!$B$25:$F$25,1,BE5)+(INDEX(Assumptions!$B$26:$F$26,1,BE5)-INDEX(Assumptions!$B$25:$F$25,1,BE5))*(BE6-1)/11,1)</f>
        <v>35.5</v>
      </c>
      <c r="BF8" s="27">
        <f>ROUND(INDEX(Assumptions!$B$25:$F$25,1,BF5)+(INDEX(Assumptions!$B$26:$F$26,1,BF5)-INDEX(Assumptions!$B$25:$F$25,1,BF5))*(BF6-1)/11,1)</f>
        <v>36.4</v>
      </c>
      <c r="BG8" s="27">
        <f>ROUND(INDEX(Assumptions!$B$25:$F$25,1,BG5)+(INDEX(Assumptions!$B$26:$F$26,1,BG5)-INDEX(Assumptions!$B$25:$F$25,1,BG5))*(BG6-1)/11,1)</f>
        <v>37.299999999999997</v>
      </c>
      <c r="BH8" s="27">
        <f>ROUND(INDEX(Assumptions!$B$25:$F$25,1,BH5)+(INDEX(Assumptions!$B$26:$F$26,1,BH5)-INDEX(Assumptions!$B$25:$F$25,1,BH5))*(BH6-1)/11,1)</f>
        <v>38.200000000000003</v>
      </c>
      <c r="BI8" s="27">
        <f>ROUND(INDEX(Assumptions!$B$25:$F$25,1,BI5)+(INDEX(Assumptions!$B$26:$F$26,1,BI5)-INDEX(Assumptions!$B$25:$F$25,1,BI5))*(BI6-1)/11,1)</f>
        <v>39.1</v>
      </c>
      <c r="BJ8" s="28">
        <f>ROUND(INDEX(Assumptions!$B$25:$F$25,1,BJ5)+(INDEX(Assumptions!$B$26:$F$26,1,BJ5)-INDEX(Assumptions!$B$25:$F$25,1,BJ5))*(BJ6-1)/11,1)</f>
        <v>40</v>
      </c>
    </row>
    <row r="9" spans="1:62" x14ac:dyDescent="0.2">
      <c r="A9" s="20" t="s">
        <v>108</v>
      </c>
      <c r="C9" s="29">
        <f>INDEX(Assumptions!$B$18:$F$18,1,C5)</f>
        <v>4.4999999999999998E-2</v>
      </c>
      <c r="D9" s="29">
        <f>INDEX(Assumptions!$B$18:$F$18,1,D5)</f>
        <v>4.4999999999999998E-2</v>
      </c>
      <c r="E9" s="29">
        <f>INDEX(Assumptions!$B$18:$F$18,1,E5)</f>
        <v>4.4999999999999998E-2</v>
      </c>
      <c r="F9" s="29">
        <f>INDEX(Assumptions!$B$18:$F$18,1,F5)</f>
        <v>4.4999999999999998E-2</v>
      </c>
      <c r="G9" s="29">
        <f>INDEX(Assumptions!$B$18:$F$18,1,G5)</f>
        <v>4.4999999999999998E-2</v>
      </c>
      <c r="H9" s="29">
        <f>INDEX(Assumptions!$B$18:$F$18,1,H5)</f>
        <v>4.4999999999999998E-2</v>
      </c>
      <c r="I9" s="29">
        <f>INDEX(Assumptions!$B$18:$F$18,1,I5)</f>
        <v>4.4999999999999998E-2</v>
      </c>
      <c r="J9" s="29">
        <f>INDEX(Assumptions!$B$18:$F$18,1,J5)</f>
        <v>4.4999999999999998E-2</v>
      </c>
      <c r="K9" s="29">
        <f>INDEX(Assumptions!$B$18:$F$18,1,K5)</f>
        <v>4.4999999999999998E-2</v>
      </c>
      <c r="L9" s="29">
        <f>INDEX(Assumptions!$B$18:$F$18,1,L5)</f>
        <v>4.4999999999999998E-2</v>
      </c>
      <c r="M9" s="29">
        <f>INDEX(Assumptions!$B$18:$F$18,1,M5)</f>
        <v>4.4999999999999998E-2</v>
      </c>
      <c r="N9" s="30">
        <f>INDEX(Assumptions!$B$18:$F$18,1,N5)</f>
        <v>4.4999999999999998E-2</v>
      </c>
      <c r="O9" s="29">
        <f>INDEX(Assumptions!$B$18:$F$18,1,O5)</f>
        <v>0.03</v>
      </c>
      <c r="P9" s="29">
        <f>INDEX(Assumptions!$B$18:$F$18,1,P5)</f>
        <v>0.03</v>
      </c>
      <c r="Q9" s="29">
        <f>INDEX(Assumptions!$B$18:$F$18,1,Q5)</f>
        <v>0.03</v>
      </c>
      <c r="R9" s="29">
        <f>INDEX(Assumptions!$B$18:$F$18,1,R5)</f>
        <v>0.03</v>
      </c>
      <c r="S9" s="29">
        <f>INDEX(Assumptions!$B$18:$F$18,1,S5)</f>
        <v>0.03</v>
      </c>
      <c r="T9" s="29">
        <f>INDEX(Assumptions!$B$18:$F$18,1,T5)</f>
        <v>0.03</v>
      </c>
      <c r="U9" s="29">
        <f>INDEX(Assumptions!$B$18:$F$18,1,U5)</f>
        <v>0.03</v>
      </c>
      <c r="V9" s="29">
        <f>INDEX(Assumptions!$B$18:$F$18,1,V5)</f>
        <v>0.03</v>
      </c>
      <c r="W9" s="29">
        <f>INDEX(Assumptions!$B$18:$F$18,1,W5)</f>
        <v>0.03</v>
      </c>
      <c r="X9" s="29">
        <f>INDEX(Assumptions!$B$18:$F$18,1,X5)</f>
        <v>0.03</v>
      </c>
      <c r="Y9" s="29">
        <f>INDEX(Assumptions!$B$18:$F$18,1,Y5)</f>
        <v>0.03</v>
      </c>
      <c r="Z9" s="30">
        <f>INDEX(Assumptions!$B$18:$F$18,1,Z5)</f>
        <v>0.03</v>
      </c>
      <c r="AA9" s="29">
        <f>INDEX(Assumptions!$B$18:$F$18,1,AA5)</f>
        <v>2.1999999999999999E-2</v>
      </c>
      <c r="AB9" s="29">
        <f>INDEX(Assumptions!$B$18:$F$18,1,AB5)</f>
        <v>2.1999999999999999E-2</v>
      </c>
      <c r="AC9" s="29">
        <f>INDEX(Assumptions!$B$18:$F$18,1,AC5)</f>
        <v>2.1999999999999999E-2</v>
      </c>
      <c r="AD9" s="29">
        <f>INDEX(Assumptions!$B$18:$F$18,1,AD5)</f>
        <v>2.1999999999999999E-2</v>
      </c>
      <c r="AE9" s="29">
        <f>INDEX(Assumptions!$B$18:$F$18,1,AE5)</f>
        <v>2.1999999999999999E-2</v>
      </c>
      <c r="AF9" s="29">
        <f>INDEX(Assumptions!$B$18:$F$18,1,AF5)</f>
        <v>2.1999999999999999E-2</v>
      </c>
      <c r="AG9" s="29">
        <f>INDEX(Assumptions!$B$18:$F$18,1,AG5)</f>
        <v>2.1999999999999999E-2</v>
      </c>
      <c r="AH9" s="29">
        <f>INDEX(Assumptions!$B$18:$F$18,1,AH5)</f>
        <v>2.1999999999999999E-2</v>
      </c>
      <c r="AI9" s="29">
        <f>INDEX(Assumptions!$B$18:$F$18,1,AI5)</f>
        <v>2.1999999999999999E-2</v>
      </c>
      <c r="AJ9" s="29">
        <f>INDEX(Assumptions!$B$18:$F$18,1,AJ5)</f>
        <v>2.1999999999999999E-2</v>
      </c>
      <c r="AK9" s="29">
        <f>INDEX(Assumptions!$B$18:$F$18,1,AK5)</f>
        <v>2.1999999999999999E-2</v>
      </c>
      <c r="AL9" s="30">
        <f>INDEX(Assumptions!$B$18:$F$18,1,AL5)</f>
        <v>2.1999999999999999E-2</v>
      </c>
      <c r="AM9" s="29">
        <f>INDEX(Assumptions!$B$18:$F$18,1,AM5)</f>
        <v>1.7999999999999999E-2</v>
      </c>
      <c r="AN9" s="29">
        <f>INDEX(Assumptions!$B$18:$F$18,1,AN5)</f>
        <v>1.7999999999999999E-2</v>
      </c>
      <c r="AO9" s="29">
        <f>INDEX(Assumptions!$B$18:$F$18,1,AO5)</f>
        <v>1.7999999999999999E-2</v>
      </c>
      <c r="AP9" s="29">
        <f>INDEX(Assumptions!$B$18:$F$18,1,AP5)</f>
        <v>1.7999999999999999E-2</v>
      </c>
      <c r="AQ9" s="29">
        <f>INDEX(Assumptions!$B$18:$F$18,1,AQ5)</f>
        <v>1.7999999999999999E-2</v>
      </c>
      <c r="AR9" s="29">
        <f>INDEX(Assumptions!$B$18:$F$18,1,AR5)</f>
        <v>1.7999999999999999E-2</v>
      </c>
      <c r="AS9" s="29">
        <f>INDEX(Assumptions!$B$18:$F$18,1,AS5)</f>
        <v>1.7999999999999999E-2</v>
      </c>
      <c r="AT9" s="29">
        <f>INDEX(Assumptions!$B$18:$F$18,1,AT5)</f>
        <v>1.7999999999999999E-2</v>
      </c>
      <c r="AU9" s="29">
        <f>INDEX(Assumptions!$B$18:$F$18,1,AU5)</f>
        <v>1.7999999999999999E-2</v>
      </c>
      <c r="AV9" s="29">
        <f>INDEX(Assumptions!$B$18:$F$18,1,AV5)</f>
        <v>1.7999999999999999E-2</v>
      </c>
      <c r="AW9" s="29">
        <f>INDEX(Assumptions!$B$18:$F$18,1,AW5)</f>
        <v>1.7999999999999999E-2</v>
      </c>
      <c r="AX9" s="30">
        <f>INDEX(Assumptions!$B$18:$F$18,1,AX5)</f>
        <v>1.7999999999999999E-2</v>
      </c>
      <c r="AY9" s="29">
        <f>INDEX(Assumptions!$B$18:$F$18,1,AY5)</f>
        <v>1.4999999999999999E-2</v>
      </c>
      <c r="AZ9" s="29">
        <f>INDEX(Assumptions!$B$18:$F$18,1,AZ5)</f>
        <v>1.4999999999999999E-2</v>
      </c>
      <c r="BA9" s="29">
        <f>INDEX(Assumptions!$B$18:$F$18,1,BA5)</f>
        <v>1.4999999999999999E-2</v>
      </c>
      <c r="BB9" s="29">
        <f>INDEX(Assumptions!$B$18:$F$18,1,BB5)</f>
        <v>1.4999999999999999E-2</v>
      </c>
      <c r="BC9" s="29">
        <f>INDEX(Assumptions!$B$18:$F$18,1,BC5)</f>
        <v>1.4999999999999999E-2</v>
      </c>
      <c r="BD9" s="29">
        <f>INDEX(Assumptions!$B$18:$F$18,1,BD5)</f>
        <v>1.4999999999999999E-2</v>
      </c>
      <c r="BE9" s="29">
        <f>INDEX(Assumptions!$B$18:$F$18,1,BE5)</f>
        <v>1.4999999999999999E-2</v>
      </c>
      <c r="BF9" s="29">
        <f>INDEX(Assumptions!$B$18:$F$18,1,BF5)</f>
        <v>1.4999999999999999E-2</v>
      </c>
      <c r="BG9" s="29">
        <f>INDEX(Assumptions!$B$18:$F$18,1,BG5)</f>
        <v>1.4999999999999999E-2</v>
      </c>
      <c r="BH9" s="29">
        <f>INDEX(Assumptions!$B$18:$F$18,1,BH5)</f>
        <v>1.4999999999999999E-2</v>
      </c>
      <c r="BI9" s="29">
        <f>INDEX(Assumptions!$B$18:$F$18,1,BI5)</f>
        <v>1.4999999999999999E-2</v>
      </c>
      <c r="BJ9" s="30">
        <f>INDEX(Assumptions!$B$18:$F$18,1,BJ5)</f>
        <v>1.4999999999999999E-2</v>
      </c>
    </row>
    <row r="10" spans="1:62" x14ac:dyDescent="0.2">
      <c r="A10" s="20" t="s">
        <v>109</v>
      </c>
      <c r="C10" s="31">
        <f>0</f>
        <v>0</v>
      </c>
      <c r="D10" s="31">
        <f t="shared" ref="D10:AI10" si="4">C11*D9</f>
        <v>4.4999999999999998E-2</v>
      </c>
      <c r="E10" s="31">
        <f t="shared" si="4"/>
        <v>0.105975</v>
      </c>
      <c r="F10" s="31">
        <f t="shared" si="4"/>
        <v>0.17770612499999999</v>
      </c>
      <c r="G10" s="31">
        <f t="shared" si="4"/>
        <v>0.26420934937500001</v>
      </c>
      <c r="H10" s="31">
        <f t="shared" si="4"/>
        <v>0.36481992865312501</v>
      </c>
      <c r="I10" s="31">
        <f t="shared" si="4"/>
        <v>0.47440303186373434</v>
      </c>
      <c r="J10" s="31">
        <f t="shared" si="4"/>
        <v>0.59705489542986634</v>
      </c>
      <c r="K10" s="31">
        <f t="shared" si="4"/>
        <v>0.72768742513552231</v>
      </c>
      <c r="L10" s="31">
        <f t="shared" si="4"/>
        <v>0.87044149100442381</v>
      </c>
      <c r="M10" s="31">
        <f t="shared" si="4"/>
        <v>1.0247716239092248</v>
      </c>
      <c r="N10" s="32">
        <f t="shared" si="4"/>
        <v>1.1856569008333095</v>
      </c>
      <c r="O10" s="31">
        <f t="shared" si="4"/>
        <v>0.9048682268638738</v>
      </c>
      <c r="P10" s="31">
        <f t="shared" si="4"/>
        <v>1.0577221800579575</v>
      </c>
      <c r="Q10" s="31">
        <f t="shared" si="4"/>
        <v>1.2269905146562188</v>
      </c>
      <c r="R10" s="31">
        <f t="shared" si="4"/>
        <v>1.4151807992165322</v>
      </c>
      <c r="S10" s="31">
        <f t="shared" si="4"/>
        <v>1.6187253752400363</v>
      </c>
      <c r="T10" s="31">
        <f t="shared" si="4"/>
        <v>1.8371636139828351</v>
      </c>
      <c r="U10" s="31">
        <f t="shared" si="4"/>
        <v>2.0700487055633499</v>
      </c>
      <c r="V10" s="31">
        <f t="shared" si="4"/>
        <v>2.3199472443964493</v>
      </c>
      <c r="W10" s="31">
        <f t="shared" si="4"/>
        <v>2.5833488270645559</v>
      </c>
      <c r="X10" s="31">
        <f t="shared" si="4"/>
        <v>2.8598483622526194</v>
      </c>
      <c r="Y10" s="31">
        <f t="shared" si="4"/>
        <v>3.1490529113850405</v>
      </c>
      <c r="Z10" s="32">
        <f t="shared" si="4"/>
        <v>3.4535813240434892</v>
      </c>
      <c r="AA10" s="31">
        <f t="shared" si="4"/>
        <v>2.7646475151696022</v>
      </c>
      <c r="AB10" s="31">
        <f t="shared" si="4"/>
        <v>3.011825269835871</v>
      </c>
      <c r="AC10" s="31">
        <f t="shared" si="4"/>
        <v>3.2733651138994819</v>
      </c>
      <c r="AD10" s="31">
        <f t="shared" si="4"/>
        <v>3.5489510813936938</v>
      </c>
      <c r="AE10" s="31">
        <f t="shared" si="4"/>
        <v>3.8382741576030326</v>
      </c>
      <c r="AF10" s="31">
        <f t="shared" si="4"/>
        <v>4.1410321261357659</v>
      </c>
      <c r="AG10" s="31">
        <f t="shared" si="4"/>
        <v>4.4569294193607787</v>
      </c>
      <c r="AH10" s="31">
        <f t="shared" si="4"/>
        <v>4.7878769721348418</v>
      </c>
      <c r="AI10" s="31">
        <f t="shared" si="4"/>
        <v>5.131343678747875</v>
      </c>
      <c r="AJ10" s="31">
        <f t="shared" ref="AJ10:BO10" si="5">AI11*AJ9</f>
        <v>5.487054117815422</v>
      </c>
      <c r="AK10" s="31">
        <f t="shared" si="5"/>
        <v>5.8547389272234831</v>
      </c>
      <c r="AL10" s="32">
        <f t="shared" si="5"/>
        <v>6.2341346708245666</v>
      </c>
      <c r="AM10" s="31">
        <f t="shared" si="5"/>
        <v>5.4204412156907118</v>
      </c>
      <c r="AN10" s="31">
        <f t="shared" si="5"/>
        <v>5.7188732738082795</v>
      </c>
      <c r="AO10" s="31">
        <f t="shared" si="5"/>
        <v>6.0281335548797301</v>
      </c>
      <c r="AP10" s="31">
        <f t="shared" si="5"/>
        <v>6.3480271508918946</v>
      </c>
      <c r="AQ10" s="31">
        <f t="shared" si="5"/>
        <v>6.6783626621758412</v>
      </c>
      <c r="AR10" s="31">
        <f t="shared" si="5"/>
        <v>7.0189521342566756</v>
      </c>
      <c r="AS10" s="31">
        <f t="shared" si="5"/>
        <v>7.3696109958400555</v>
      </c>
      <c r="AT10" s="31">
        <f t="shared" si="5"/>
        <v>7.7319579979149351</v>
      </c>
      <c r="AU10" s="31">
        <f t="shared" si="5"/>
        <v>8.1039827539524651</v>
      </c>
      <c r="AV10" s="31">
        <f t="shared" si="5"/>
        <v>8.4855110643813205</v>
      </c>
      <c r="AW10" s="31">
        <f t="shared" si="5"/>
        <v>8.8763718652224561</v>
      </c>
      <c r="AX10" s="32">
        <f t="shared" si="5"/>
        <v>9.2763971716484512</v>
      </c>
      <c r="AY10" s="31">
        <f t="shared" si="5"/>
        <v>8.0711850187989835</v>
      </c>
      <c r="AZ10" s="31">
        <f t="shared" si="5"/>
        <v>8.4001172435170002</v>
      </c>
      <c r="BA10" s="31">
        <f t="shared" si="5"/>
        <v>8.7376154848642447</v>
      </c>
      <c r="BB10" s="31">
        <f t="shared" si="5"/>
        <v>9.0835512525912794</v>
      </c>
      <c r="BC10" s="31">
        <f t="shared" si="5"/>
        <v>9.43779798380241</v>
      </c>
      <c r="BD10" s="31">
        <f t="shared" si="5"/>
        <v>9.8002310140453748</v>
      </c>
      <c r="BE10" s="31">
        <f t="shared" si="5"/>
        <v>10.170727548834694</v>
      </c>
      <c r="BF10" s="31">
        <f t="shared" si="5"/>
        <v>10.550666635602173</v>
      </c>
      <c r="BG10" s="31">
        <f t="shared" si="5"/>
        <v>10.938406636068141</v>
      </c>
      <c r="BH10" s="31">
        <f t="shared" si="5"/>
        <v>11.333830536527117</v>
      </c>
      <c r="BI10" s="31">
        <f t="shared" si="5"/>
        <v>11.736823078479212</v>
      </c>
      <c r="BJ10" s="32">
        <f t="shared" si="5"/>
        <v>12.147270732302022</v>
      </c>
    </row>
    <row r="11" spans="1:62" x14ac:dyDescent="0.2">
      <c r="A11" s="20" t="s">
        <v>110</v>
      </c>
      <c r="C11" s="31">
        <f>C8-C10</f>
        <v>1</v>
      </c>
      <c r="D11" s="31">
        <f t="shared" ref="D11:AI11" si="6">C11+D8-D10</f>
        <v>2.355</v>
      </c>
      <c r="E11" s="31">
        <f t="shared" si="6"/>
        <v>3.9490249999999998</v>
      </c>
      <c r="F11" s="31">
        <f t="shared" si="6"/>
        <v>5.871318875</v>
      </c>
      <c r="G11" s="31">
        <f t="shared" si="6"/>
        <v>8.1071095256250008</v>
      </c>
      <c r="H11" s="31">
        <f t="shared" si="6"/>
        <v>10.542289596971875</v>
      </c>
      <c r="I11" s="31">
        <f t="shared" si="6"/>
        <v>13.267886565108142</v>
      </c>
      <c r="J11" s="31">
        <f t="shared" si="6"/>
        <v>16.170831669678275</v>
      </c>
      <c r="K11" s="31">
        <f t="shared" si="6"/>
        <v>19.343144244542753</v>
      </c>
      <c r="L11" s="31">
        <f t="shared" si="6"/>
        <v>22.772702753538329</v>
      </c>
      <c r="M11" s="31">
        <f t="shared" si="6"/>
        <v>26.347931129629103</v>
      </c>
      <c r="N11" s="32">
        <f t="shared" si="6"/>
        <v>30.162274228795795</v>
      </c>
      <c r="O11" s="31">
        <f t="shared" si="6"/>
        <v>35.257406001931919</v>
      </c>
      <c r="P11" s="31">
        <f t="shared" si="6"/>
        <v>40.899683821873964</v>
      </c>
      <c r="Q11" s="31">
        <f t="shared" si="6"/>
        <v>47.172693307217742</v>
      </c>
      <c r="R11" s="31">
        <f t="shared" si="6"/>
        <v>53.957512508001216</v>
      </c>
      <c r="S11" s="31">
        <f t="shared" si="6"/>
        <v>61.238787132761175</v>
      </c>
      <c r="T11" s="31">
        <f t="shared" si="6"/>
        <v>69.001623518778331</v>
      </c>
      <c r="U11" s="31">
        <f t="shared" si="6"/>
        <v>77.331574813214985</v>
      </c>
      <c r="V11" s="31">
        <f t="shared" si="6"/>
        <v>86.111627568818534</v>
      </c>
      <c r="W11" s="31">
        <f t="shared" si="6"/>
        <v>95.328278741753977</v>
      </c>
      <c r="X11" s="31">
        <f t="shared" si="6"/>
        <v>104.96843037950136</v>
      </c>
      <c r="Y11" s="31">
        <f t="shared" si="6"/>
        <v>115.11937746811631</v>
      </c>
      <c r="Z11" s="32">
        <f t="shared" si="6"/>
        <v>125.66579614407283</v>
      </c>
      <c r="AA11" s="31">
        <f t="shared" si="6"/>
        <v>136.90114862890323</v>
      </c>
      <c r="AB11" s="31">
        <f t="shared" si="6"/>
        <v>148.78932335906737</v>
      </c>
      <c r="AC11" s="31">
        <f t="shared" si="6"/>
        <v>161.31595824516791</v>
      </c>
      <c r="AD11" s="31">
        <f t="shared" si="6"/>
        <v>174.46700716377421</v>
      </c>
      <c r="AE11" s="31">
        <f t="shared" si="6"/>
        <v>188.22873300617118</v>
      </c>
      <c r="AF11" s="31">
        <f t="shared" si="6"/>
        <v>202.58770088003541</v>
      </c>
      <c r="AG11" s="31">
        <f t="shared" si="6"/>
        <v>217.63077146067462</v>
      </c>
      <c r="AH11" s="31">
        <f t="shared" si="6"/>
        <v>233.24289448853978</v>
      </c>
      <c r="AI11" s="31">
        <f t="shared" si="6"/>
        <v>249.41155080979192</v>
      </c>
      <c r="AJ11" s="31">
        <f t="shared" ref="AJ11:BO11" si="7">AI11+AJ8-AJ10</f>
        <v>266.1244966919765</v>
      </c>
      <c r="AK11" s="31">
        <f t="shared" si="7"/>
        <v>283.36975776475305</v>
      </c>
      <c r="AL11" s="32">
        <f t="shared" si="7"/>
        <v>301.13562309392847</v>
      </c>
      <c r="AM11" s="31">
        <f t="shared" si="7"/>
        <v>317.71518187823779</v>
      </c>
      <c r="AN11" s="31">
        <f t="shared" si="7"/>
        <v>334.89630860442946</v>
      </c>
      <c r="AO11" s="31">
        <f t="shared" si="7"/>
        <v>352.66817504954975</v>
      </c>
      <c r="AP11" s="31">
        <f t="shared" si="7"/>
        <v>371.02014789865785</v>
      </c>
      <c r="AQ11" s="31">
        <f t="shared" si="7"/>
        <v>389.94178523648202</v>
      </c>
      <c r="AR11" s="31">
        <f t="shared" si="7"/>
        <v>409.42283310222535</v>
      </c>
      <c r="AS11" s="31">
        <f t="shared" si="7"/>
        <v>429.55322210638531</v>
      </c>
      <c r="AT11" s="31">
        <f t="shared" si="7"/>
        <v>450.22126410847034</v>
      </c>
      <c r="AU11" s="31">
        <f t="shared" si="7"/>
        <v>471.41728135451785</v>
      </c>
      <c r="AV11" s="31">
        <f t="shared" si="7"/>
        <v>493.1317702901365</v>
      </c>
      <c r="AW11" s="31">
        <f t="shared" si="7"/>
        <v>515.35539842491403</v>
      </c>
      <c r="AX11" s="32">
        <f t="shared" si="7"/>
        <v>538.07900125326557</v>
      </c>
      <c r="AY11" s="31">
        <f t="shared" si="7"/>
        <v>560.00781623446665</v>
      </c>
      <c r="AZ11" s="31">
        <f t="shared" si="7"/>
        <v>582.50769899094962</v>
      </c>
      <c r="BA11" s="31">
        <f t="shared" si="7"/>
        <v>605.57008350608533</v>
      </c>
      <c r="BB11" s="31">
        <f t="shared" si="7"/>
        <v>629.18653225349408</v>
      </c>
      <c r="BC11" s="31">
        <f t="shared" si="7"/>
        <v>653.3487342696917</v>
      </c>
      <c r="BD11" s="31">
        <f t="shared" si="7"/>
        <v>678.04850325564632</v>
      </c>
      <c r="BE11" s="31">
        <f t="shared" si="7"/>
        <v>703.37777570681158</v>
      </c>
      <c r="BF11" s="31">
        <f t="shared" si="7"/>
        <v>729.22710907120938</v>
      </c>
      <c r="BG11" s="31">
        <f t="shared" si="7"/>
        <v>755.58870243514116</v>
      </c>
      <c r="BH11" s="31">
        <f t="shared" si="7"/>
        <v>782.4548718986141</v>
      </c>
      <c r="BI11" s="31">
        <f t="shared" si="7"/>
        <v>809.81804882013489</v>
      </c>
      <c r="BJ11" s="32">
        <f t="shared" si="7"/>
        <v>837.6707780878329</v>
      </c>
    </row>
    <row r="12" spans="1:62" x14ac:dyDescent="0.2">
      <c r="N12" s="26"/>
      <c r="Z12" s="26"/>
      <c r="AL12" s="26"/>
      <c r="AX12" s="26"/>
      <c r="BJ12" s="26"/>
    </row>
    <row r="13" spans="1:62" x14ac:dyDescent="0.2">
      <c r="A13" s="20" t="s">
        <v>111</v>
      </c>
      <c r="C13" s="33">
        <f>C11*Assumptions!$B$5</f>
        <v>200</v>
      </c>
      <c r="D13" s="33">
        <f>D11*Assumptions!$B$5</f>
        <v>471</v>
      </c>
      <c r="E13" s="33">
        <f>E11*Assumptions!$B$5</f>
        <v>789.80499999999995</v>
      </c>
      <c r="F13" s="33">
        <f>F11*Assumptions!$B$5</f>
        <v>1174.2637749999999</v>
      </c>
      <c r="G13" s="33">
        <f>G11*Assumptions!$B$5</f>
        <v>1621.4219051250002</v>
      </c>
      <c r="H13" s="33">
        <f>H11*Assumptions!$B$5</f>
        <v>2108.457919394375</v>
      </c>
      <c r="I13" s="33">
        <f>I11*Assumptions!$B$5</f>
        <v>2653.5773130216285</v>
      </c>
      <c r="J13" s="33">
        <f>J11*Assumptions!$B$5</f>
        <v>3234.1663339356551</v>
      </c>
      <c r="K13" s="33">
        <f>K11*Assumptions!$B$5</f>
        <v>3868.6288489085505</v>
      </c>
      <c r="L13" s="33">
        <f>L11*Assumptions!$B$5</f>
        <v>4554.5405507076657</v>
      </c>
      <c r="M13" s="33">
        <f>M11*Assumptions!$B$5</f>
        <v>5269.5862259258211</v>
      </c>
      <c r="N13" s="34">
        <f>N11*Assumptions!$B$5</f>
        <v>6032.4548457591591</v>
      </c>
      <c r="O13" s="33">
        <f>O11*Assumptions!$B$5</f>
        <v>7051.4812003863835</v>
      </c>
      <c r="P13" s="33">
        <f>P11*Assumptions!$B$5</f>
        <v>8179.9367643747928</v>
      </c>
      <c r="Q13" s="33">
        <f>Q11*Assumptions!$B$5</f>
        <v>9434.5386614435483</v>
      </c>
      <c r="R13" s="33">
        <f>R11*Assumptions!$B$5</f>
        <v>10791.502501600244</v>
      </c>
      <c r="S13" s="33">
        <f>S11*Assumptions!$B$5</f>
        <v>12247.757426552234</v>
      </c>
      <c r="T13" s="33">
        <f>T11*Assumptions!$B$5</f>
        <v>13800.324703755667</v>
      </c>
      <c r="U13" s="33">
        <f>U11*Assumptions!$B$5</f>
        <v>15466.314962642997</v>
      </c>
      <c r="V13" s="33">
        <f>V11*Assumptions!$B$5</f>
        <v>17222.325513763706</v>
      </c>
      <c r="W13" s="33">
        <f>W11*Assumptions!$B$5</f>
        <v>19065.655748350797</v>
      </c>
      <c r="X13" s="33">
        <f>X11*Assumptions!$B$5</f>
        <v>20993.68607590027</v>
      </c>
      <c r="Y13" s="33">
        <f>Y11*Assumptions!$B$5</f>
        <v>23023.875493623262</v>
      </c>
      <c r="Z13" s="34">
        <f>Z11*Assumptions!$B$5</f>
        <v>25133.159228814566</v>
      </c>
      <c r="AA13" s="33">
        <f>AA11*Assumptions!$B$5</f>
        <v>27380.229725780646</v>
      </c>
      <c r="AB13" s="33">
        <f>AB11*Assumptions!$B$5</f>
        <v>29757.864671813473</v>
      </c>
      <c r="AC13" s="33">
        <f>AC11*Assumptions!$B$5</f>
        <v>32263.191649033583</v>
      </c>
      <c r="AD13" s="33">
        <f>AD11*Assumptions!$B$5</f>
        <v>34893.401432754843</v>
      </c>
      <c r="AE13" s="33">
        <f>AE11*Assumptions!$B$5</f>
        <v>37645.746601234234</v>
      </c>
      <c r="AF13" s="33">
        <f>AF11*Assumptions!$B$5</f>
        <v>40517.540176007082</v>
      </c>
      <c r="AG13" s="33">
        <f>AG11*Assumptions!$B$5</f>
        <v>43526.154292134925</v>
      </c>
      <c r="AH13" s="33">
        <f>AH11*Assumptions!$B$5</f>
        <v>46648.578897707957</v>
      </c>
      <c r="AI13" s="33">
        <f>AI11*Assumptions!$B$5</f>
        <v>49882.310161958383</v>
      </c>
      <c r="AJ13" s="33">
        <f>AJ11*Assumptions!$B$5</f>
        <v>53224.899338395298</v>
      </c>
      <c r="AK13" s="33">
        <f>AK11*Assumptions!$B$5</f>
        <v>56673.95155295061</v>
      </c>
      <c r="AL13" s="34">
        <f>AL11*Assumptions!$B$5</f>
        <v>60227.124618785696</v>
      </c>
      <c r="AM13" s="33">
        <f>AM11*Assumptions!$B$5</f>
        <v>63543.036375647556</v>
      </c>
      <c r="AN13" s="33">
        <f>AN11*Assumptions!$B$5</f>
        <v>66979.261720885886</v>
      </c>
      <c r="AO13" s="33">
        <f>AO11*Assumptions!$B$5</f>
        <v>70533.635009909951</v>
      </c>
      <c r="AP13" s="33">
        <f>AP11*Assumptions!$B$5</f>
        <v>74204.029579731578</v>
      </c>
      <c r="AQ13" s="33">
        <f>AQ11*Assumptions!$B$5</f>
        <v>77988.357047296406</v>
      </c>
      <c r="AR13" s="33">
        <f>AR11*Assumptions!$B$5</f>
        <v>81884.566620445068</v>
      </c>
      <c r="AS13" s="33">
        <f>AS11*Assumptions!$B$5</f>
        <v>85910.644421277058</v>
      </c>
      <c r="AT13" s="33">
        <f>AT11*Assumptions!$B$5</f>
        <v>90044.25282169407</v>
      </c>
      <c r="AU13" s="33">
        <f>AU11*Assumptions!$B$5</f>
        <v>94283.456270903567</v>
      </c>
      <c r="AV13" s="33">
        <f>AV11*Assumptions!$B$5</f>
        <v>98626.354058027297</v>
      </c>
      <c r="AW13" s="33">
        <f>AW11*Assumptions!$B$5</f>
        <v>103071.0796849828</v>
      </c>
      <c r="AX13" s="34">
        <f>AX11*Assumptions!$B$5</f>
        <v>107615.80025065312</v>
      </c>
      <c r="AY13" s="33">
        <f>AY11*Assumptions!$B$5</f>
        <v>112001.56324689333</v>
      </c>
      <c r="AZ13" s="33">
        <f>AZ11*Assumptions!$B$5</f>
        <v>116501.53979818993</v>
      </c>
      <c r="BA13" s="33">
        <f>BA11*Assumptions!$B$5</f>
        <v>121114.01670121707</v>
      </c>
      <c r="BB13" s="33">
        <f>BB11*Assumptions!$B$5</f>
        <v>125837.30645069882</v>
      </c>
      <c r="BC13" s="33">
        <f>BC11*Assumptions!$B$5</f>
        <v>130669.74685393834</v>
      </c>
      <c r="BD13" s="33">
        <f>BD11*Assumptions!$B$5</f>
        <v>135609.70065112927</v>
      </c>
      <c r="BE13" s="33">
        <f>BE11*Assumptions!$B$5</f>
        <v>140675.5551413623</v>
      </c>
      <c r="BF13" s="33">
        <f>BF11*Assumptions!$B$5</f>
        <v>145845.42181424188</v>
      </c>
      <c r="BG13" s="33">
        <f>BG11*Assumptions!$B$5</f>
        <v>151117.74048702823</v>
      </c>
      <c r="BH13" s="33">
        <f>BH11*Assumptions!$B$5</f>
        <v>156490.97437972281</v>
      </c>
      <c r="BI13" s="33">
        <f>BI11*Assumptions!$B$5</f>
        <v>161963.60976402697</v>
      </c>
      <c r="BJ13" s="34">
        <f>BJ11*Assumptions!$B$5</f>
        <v>167534.15561756658</v>
      </c>
    </row>
    <row r="14" spans="1:62" x14ac:dyDescent="0.2">
      <c r="A14" s="20" t="s">
        <v>112</v>
      </c>
      <c r="C14" s="33">
        <f t="shared" ref="C14:AH14" si="8">C13*12</f>
        <v>2400</v>
      </c>
      <c r="D14" s="33">
        <f t="shared" si="8"/>
        <v>5652</v>
      </c>
      <c r="E14" s="33">
        <f t="shared" si="8"/>
        <v>9477.66</v>
      </c>
      <c r="F14" s="33">
        <f t="shared" si="8"/>
        <v>14091.165299999999</v>
      </c>
      <c r="G14" s="33">
        <f t="shared" si="8"/>
        <v>19457.062861500002</v>
      </c>
      <c r="H14" s="33">
        <f t="shared" si="8"/>
        <v>25301.495032732499</v>
      </c>
      <c r="I14" s="33">
        <f t="shared" si="8"/>
        <v>31842.927756259542</v>
      </c>
      <c r="J14" s="33">
        <f t="shared" si="8"/>
        <v>38809.996007227863</v>
      </c>
      <c r="K14" s="33">
        <f t="shared" si="8"/>
        <v>46423.546186902604</v>
      </c>
      <c r="L14" s="33">
        <f t="shared" si="8"/>
        <v>54654.486608491992</v>
      </c>
      <c r="M14" s="33">
        <f t="shared" si="8"/>
        <v>63235.034711109853</v>
      </c>
      <c r="N14" s="34">
        <f t="shared" si="8"/>
        <v>72389.458149109909</v>
      </c>
      <c r="O14" s="33">
        <f t="shared" si="8"/>
        <v>84617.774404636599</v>
      </c>
      <c r="P14" s="33">
        <f t="shared" si="8"/>
        <v>98159.24117249751</v>
      </c>
      <c r="Q14" s="33">
        <f t="shared" si="8"/>
        <v>113214.46393732258</v>
      </c>
      <c r="R14" s="33">
        <f t="shared" si="8"/>
        <v>129498.03001920292</v>
      </c>
      <c r="S14" s="33">
        <f t="shared" si="8"/>
        <v>146973.08911862681</v>
      </c>
      <c r="T14" s="33">
        <f t="shared" si="8"/>
        <v>165603.89644506801</v>
      </c>
      <c r="U14" s="33">
        <f t="shared" si="8"/>
        <v>185595.77955171597</v>
      </c>
      <c r="V14" s="33">
        <f t="shared" si="8"/>
        <v>206667.90616516449</v>
      </c>
      <c r="W14" s="33">
        <f t="shared" si="8"/>
        <v>228787.86898020958</v>
      </c>
      <c r="X14" s="33">
        <f t="shared" si="8"/>
        <v>251924.23291080323</v>
      </c>
      <c r="Y14" s="33">
        <f t="shared" si="8"/>
        <v>276286.50592347916</v>
      </c>
      <c r="Z14" s="34">
        <f t="shared" si="8"/>
        <v>301597.9107457748</v>
      </c>
      <c r="AA14" s="33">
        <f t="shared" si="8"/>
        <v>328562.75670936774</v>
      </c>
      <c r="AB14" s="33">
        <f t="shared" si="8"/>
        <v>357094.37606176169</v>
      </c>
      <c r="AC14" s="33">
        <f t="shared" si="8"/>
        <v>387158.29978840298</v>
      </c>
      <c r="AD14" s="33">
        <f t="shared" si="8"/>
        <v>418720.81719305809</v>
      </c>
      <c r="AE14" s="33">
        <f t="shared" si="8"/>
        <v>451748.95921481081</v>
      </c>
      <c r="AF14" s="33">
        <f t="shared" si="8"/>
        <v>486210.48211208498</v>
      </c>
      <c r="AG14" s="33">
        <f t="shared" si="8"/>
        <v>522313.85150561912</v>
      </c>
      <c r="AH14" s="33">
        <f t="shared" si="8"/>
        <v>559782.94677249552</v>
      </c>
      <c r="AI14" s="33">
        <f t="shared" ref="AI14:BN14" si="9">AI13*12</f>
        <v>598587.72194350057</v>
      </c>
      <c r="AJ14" s="33">
        <f t="shared" si="9"/>
        <v>638698.79206074355</v>
      </c>
      <c r="AK14" s="33">
        <f t="shared" si="9"/>
        <v>680087.41863540735</v>
      </c>
      <c r="AL14" s="34">
        <f t="shared" si="9"/>
        <v>722725.49542542838</v>
      </c>
      <c r="AM14" s="33">
        <f t="shared" si="9"/>
        <v>762516.43650777068</v>
      </c>
      <c r="AN14" s="33">
        <f t="shared" si="9"/>
        <v>803751.1406506307</v>
      </c>
      <c r="AO14" s="33">
        <f t="shared" si="9"/>
        <v>846403.62011891941</v>
      </c>
      <c r="AP14" s="33">
        <f t="shared" si="9"/>
        <v>890448.35495677893</v>
      </c>
      <c r="AQ14" s="33">
        <f t="shared" si="9"/>
        <v>935860.28456755681</v>
      </c>
      <c r="AR14" s="33">
        <f t="shared" si="9"/>
        <v>982614.79944534088</v>
      </c>
      <c r="AS14" s="33">
        <f t="shared" si="9"/>
        <v>1030927.7330553248</v>
      </c>
      <c r="AT14" s="33">
        <f t="shared" si="9"/>
        <v>1080531.0338603288</v>
      </c>
      <c r="AU14" s="33">
        <f t="shared" si="9"/>
        <v>1131401.4752508427</v>
      </c>
      <c r="AV14" s="33">
        <f t="shared" si="9"/>
        <v>1183516.2486963277</v>
      </c>
      <c r="AW14" s="33">
        <f t="shared" si="9"/>
        <v>1236852.9562197938</v>
      </c>
      <c r="AX14" s="34">
        <f t="shared" si="9"/>
        <v>1291389.6030078374</v>
      </c>
      <c r="AY14" s="33">
        <f t="shared" si="9"/>
        <v>1344018.7589627199</v>
      </c>
      <c r="AZ14" s="33">
        <f t="shared" si="9"/>
        <v>1398018.4775782791</v>
      </c>
      <c r="BA14" s="33">
        <f t="shared" si="9"/>
        <v>1453368.200414605</v>
      </c>
      <c r="BB14" s="33">
        <f t="shared" si="9"/>
        <v>1510047.6774083858</v>
      </c>
      <c r="BC14" s="33">
        <f t="shared" si="9"/>
        <v>1568036.9622472601</v>
      </c>
      <c r="BD14" s="33">
        <f t="shared" si="9"/>
        <v>1627316.4078135514</v>
      </c>
      <c r="BE14" s="33">
        <f t="shared" si="9"/>
        <v>1688106.6616963476</v>
      </c>
      <c r="BF14" s="33">
        <f t="shared" si="9"/>
        <v>1750145.0617709025</v>
      </c>
      <c r="BG14" s="33">
        <f t="shared" si="9"/>
        <v>1813412.8858443387</v>
      </c>
      <c r="BH14" s="33">
        <f t="shared" si="9"/>
        <v>1877891.6925566737</v>
      </c>
      <c r="BI14" s="33">
        <f t="shared" si="9"/>
        <v>1943563.3171683238</v>
      </c>
      <c r="BJ14" s="34">
        <f t="shared" si="9"/>
        <v>2010409.867410799</v>
      </c>
    </row>
    <row r="15" spans="1:62" x14ac:dyDescent="0.2">
      <c r="N15" s="26"/>
      <c r="Z15" s="26"/>
      <c r="AL15" s="26"/>
      <c r="AX15" s="26"/>
      <c r="BJ15" s="26"/>
    </row>
    <row r="16" spans="1:62" x14ac:dyDescent="0.2">
      <c r="A16" s="20" t="s">
        <v>113</v>
      </c>
      <c r="C16" s="33">
        <f>C11*Assumptions!$B$30</f>
        <v>20</v>
      </c>
      <c r="D16" s="33">
        <f>D11*Assumptions!$B$30</f>
        <v>47.1</v>
      </c>
      <c r="E16" s="33">
        <f>E11*Assumptions!$B$30</f>
        <v>78.980499999999992</v>
      </c>
      <c r="F16" s="33">
        <f>F11*Assumptions!$B$30</f>
        <v>117.4263775</v>
      </c>
      <c r="G16" s="33">
        <f>G11*Assumptions!$B$30</f>
        <v>162.14219051250001</v>
      </c>
      <c r="H16" s="33">
        <f>H11*Assumptions!$B$30</f>
        <v>210.8457919394375</v>
      </c>
      <c r="I16" s="33">
        <f>I11*Assumptions!$B$30</f>
        <v>265.35773130216285</v>
      </c>
      <c r="J16" s="33">
        <f>J11*Assumptions!$B$30</f>
        <v>323.41663339356552</v>
      </c>
      <c r="K16" s="33">
        <f>K11*Assumptions!$B$30</f>
        <v>386.86288489085507</v>
      </c>
      <c r="L16" s="33">
        <f>L11*Assumptions!$B$30</f>
        <v>455.45405507076657</v>
      </c>
      <c r="M16" s="33">
        <f>M11*Assumptions!$B$30</f>
        <v>526.95862259258206</v>
      </c>
      <c r="N16" s="34">
        <f>N11*Assumptions!$B$30</f>
        <v>603.24548457591595</v>
      </c>
      <c r="O16" s="33">
        <f>O11*Assumptions!$B$30</f>
        <v>705.14812003863835</v>
      </c>
      <c r="P16" s="33">
        <f>P11*Assumptions!$B$30</f>
        <v>817.99367643747928</v>
      </c>
      <c r="Q16" s="33">
        <f>Q11*Assumptions!$B$30</f>
        <v>943.45386614435483</v>
      </c>
      <c r="R16" s="33">
        <f>R11*Assumptions!$B$30</f>
        <v>1079.1502501600244</v>
      </c>
      <c r="S16" s="33">
        <f>S11*Assumptions!$B$30</f>
        <v>1224.7757426552234</v>
      </c>
      <c r="T16" s="33">
        <f>T11*Assumptions!$B$30</f>
        <v>1380.0324703755666</v>
      </c>
      <c r="U16" s="33">
        <f>U11*Assumptions!$B$30</f>
        <v>1546.6314962642996</v>
      </c>
      <c r="V16" s="33">
        <f>V11*Assumptions!$B$30</f>
        <v>1722.2325513763708</v>
      </c>
      <c r="W16" s="33">
        <f>W11*Assumptions!$B$30</f>
        <v>1906.5655748350796</v>
      </c>
      <c r="X16" s="33">
        <f>X11*Assumptions!$B$30</f>
        <v>2099.3686075900273</v>
      </c>
      <c r="Y16" s="33">
        <f>Y11*Assumptions!$B$30</f>
        <v>2302.3875493623264</v>
      </c>
      <c r="Z16" s="34">
        <f>Z11*Assumptions!$B$30</f>
        <v>2513.3159228814566</v>
      </c>
      <c r="AA16" s="33">
        <f>AA11*Assumptions!$B$30</f>
        <v>2738.0229725780646</v>
      </c>
      <c r="AB16" s="33">
        <f>AB11*Assumptions!$B$30</f>
        <v>2975.7864671813472</v>
      </c>
      <c r="AC16" s="33">
        <f>AC11*Assumptions!$B$30</f>
        <v>3226.3191649033579</v>
      </c>
      <c r="AD16" s="33">
        <f>AD11*Assumptions!$B$30</f>
        <v>3489.3401432754845</v>
      </c>
      <c r="AE16" s="33">
        <f>AE11*Assumptions!$B$30</f>
        <v>3764.5746601234237</v>
      </c>
      <c r="AF16" s="33">
        <f>AF11*Assumptions!$B$30</f>
        <v>4051.7540176007083</v>
      </c>
      <c r="AG16" s="33">
        <f>AG11*Assumptions!$B$30</f>
        <v>4352.6154292134925</v>
      </c>
      <c r="AH16" s="33">
        <f>AH11*Assumptions!$B$30</f>
        <v>4664.8578897707957</v>
      </c>
      <c r="AI16" s="33">
        <f>AI11*Assumptions!$B$30</f>
        <v>4988.2310161958385</v>
      </c>
      <c r="AJ16" s="33">
        <f>AJ11*Assumptions!$B$30</f>
        <v>5322.4899338395298</v>
      </c>
      <c r="AK16" s="33">
        <f>AK11*Assumptions!$B$30</f>
        <v>5667.3951552950612</v>
      </c>
      <c r="AL16" s="34">
        <f>AL11*Assumptions!$B$30</f>
        <v>6022.7124618785692</v>
      </c>
      <c r="AM16" s="33">
        <f>AM11*Assumptions!$B$30</f>
        <v>6354.3036375647553</v>
      </c>
      <c r="AN16" s="33">
        <f>AN11*Assumptions!$B$30</f>
        <v>6697.9261720885897</v>
      </c>
      <c r="AO16" s="33">
        <f>AO11*Assumptions!$B$30</f>
        <v>7053.3635009909949</v>
      </c>
      <c r="AP16" s="33">
        <f>AP11*Assumptions!$B$30</f>
        <v>7420.4029579731568</v>
      </c>
      <c r="AQ16" s="33">
        <f>AQ11*Assumptions!$B$30</f>
        <v>7798.8357047296404</v>
      </c>
      <c r="AR16" s="33">
        <f>AR11*Assumptions!$B$30</f>
        <v>8188.4566620445075</v>
      </c>
      <c r="AS16" s="33">
        <f>AS11*Assumptions!$B$30</f>
        <v>8591.0644421277066</v>
      </c>
      <c r="AT16" s="33">
        <f>AT11*Assumptions!$B$30</f>
        <v>9004.4252821694063</v>
      </c>
      <c r="AU16" s="33">
        <f>AU11*Assumptions!$B$30</f>
        <v>9428.3456270903571</v>
      </c>
      <c r="AV16" s="33">
        <f>AV11*Assumptions!$B$30</f>
        <v>9862.63540580273</v>
      </c>
      <c r="AW16" s="33">
        <f>AW11*Assumptions!$B$30</f>
        <v>10307.10796849828</v>
      </c>
      <c r="AX16" s="34">
        <f>AX11*Assumptions!$B$30</f>
        <v>10761.580025065312</v>
      </c>
      <c r="AY16" s="33">
        <f>AY11*Assumptions!$B$30</f>
        <v>11200.156324689333</v>
      </c>
      <c r="AZ16" s="33">
        <f>AZ11*Assumptions!$B$30</f>
        <v>11650.153979818992</v>
      </c>
      <c r="BA16" s="33">
        <f>BA11*Assumptions!$B$30</f>
        <v>12111.401670121706</v>
      </c>
      <c r="BB16" s="33">
        <f>BB11*Assumptions!$B$30</f>
        <v>12583.730645069882</v>
      </c>
      <c r="BC16" s="33">
        <f>BC11*Assumptions!$B$30</f>
        <v>13066.974685393834</v>
      </c>
      <c r="BD16" s="33">
        <f>BD11*Assumptions!$B$30</f>
        <v>13560.970065112926</v>
      </c>
      <c r="BE16" s="33">
        <f>BE11*Assumptions!$B$30</f>
        <v>14067.555514136231</v>
      </c>
      <c r="BF16" s="33">
        <f>BF11*Assumptions!$B$30</f>
        <v>14584.542181424187</v>
      </c>
      <c r="BG16" s="33">
        <f>BG11*Assumptions!$B$30</f>
        <v>15111.774048702824</v>
      </c>
      <c r="BH16" s="33">
        <f>BH11*Assumptions!$B$30</f>
        <v>15649.097437972283</v>
      </c>
      <c r="BI16" s="33">
        <f>BI11*Assumptions!$B$30</f>
        <v>16196.360976402699</v>
      </c>
      <c r="BJ16" s="34">
        <f>BJ11*Assumptions!$B$30</f>
        <v>16753.415561756658</v>
      </c>
    </row>
    <row r="17" spans="1:62" x14ac:dyDescent="0.2">
      <c r="A17" s="20" t="s">
        <v>114</v>
      </c>
      <c r="C17" s="33">
        <f t="shared" ref="C17:AH17" si="10">C13-C16</f>
        <v>180</v>
      </c>
      <c r="D17" s="33">
        <f t="shared" si="10"/>
        <v>423.9</v>
      </c>
      <c r="E17" s="33">
        <f t="shared" si="10"/>
        <v>710.82449999999994</v>
      </c>
      <c r="F17" s="33">
        <f t="shared" si="10"/>
        <v>1056.8373975</v>
      </c>
      <c r="G17" s="33">
        <f t="shared" si="10"/>
        <v>1459.2797146125001</v>
      </c>
      <c r="H17" s="33">
        <f t="shared" si="10"/>
        <v>1897.6121274549375</v>
      </c>
      <c r="I17" s="33">
        <f t="shared" si="10"/>
        <v>2388.2195817194656</v>
      </c>
      <c r="J17" s="33">
        <f t="shared" si="10"/>
        <v>2910.7497005420896</v>
      </c>
      <c r="K17" s="33">
        <f t="shared" si="10"/>
        <v>3481.7659640176953</v>
      </c>
      <c r="L17" s="33">
        <f t="shared" si="10"/>
        <v>4099.0864956368987</v>
      </c>
      <c r="M17" s="33">
        <f t="shared" si="10"/>
        <v>4742.6276033332388</v>
      </c>
      <c r="N17" s="34">
        <f t="shared" si="10"/>
        <v>5429.2093611832433</v>
      </c>
      <c r="O17" s="33">
        <f t="shared" si="10"/>
        <v>6346.3330803477456</v>
      </c>
      <c r="P17" s="33">
        <f t="shared" si="10"/>
        <v>7361.943087937314</v>
      </c>
      <c r="Q17" s="33">
        <f t="shared" si="10"/>
        <v>8491.0847952991935</v>
      </c>
      <c r="R17" s="33">
        <f t="shared" si="10"/>
        <v>9712.3522514402193</v>
      </c>
      <c r="S17" s="33">
        <f t="shared" si="10"/>
        <v>11022.981683897011</v>
      </c>
      <c r="T17" s="33">
        <f t="shared" si="10"/>
        <v>12420.2922333801</v>
      </c>
      <c r="U17" s="33">
        <f t="shared" si="10"/>
        <v>13919.683466378698</v>
      </c>
      <c r="V17" s="33">
        <f t="shared" si="10"/>
        <v>15500.092962387334</v>
      </c>
      <c r="W17" s="33">
        <f t="shared" si="10"/>
        <v>17159.090173515717</v>
      </c>
      <c r="X17" s="33">
        <f t="shared" si="10"/>
        <v>18894.317468310244</v>
      </c>
      <c r="Y17" s="33">
        <f t="shared" si="10"/>
        <v>20721.487944260934</v>
      </c>
      <c r="Z17" s="34">
        <f t="shared" si="10"/>
        <v>22619.843305933107</v>
      </c>
      <c r="AA17" s="33">
        <f t="shared" si="10"/>
        <v>24642.206753202583</v>
      </c>
      <c r="AB17" s="33">
        <f t="shared" si="10"/>
        <v>26782.078204632126</v>
      </c>
      <c r="AC17" s="33">
        <f t="shared" si="10"/>
        <v>29036.872484130225</v>
      </c>
      <c r="AD17" s="33">
        <f t="shared" si="10"/>
        <v>31404.061289479359</v>
      </c>
      <c r="AE17" s="33">
        <f t="shared" si="10"/>
        <v>33881.171941110813</v>
      </c>
      <c r="AF17" s="33">
        <f t="shared" si="10"/>
        <v>36465.786158406372</v>
      </c>
      <c r="AG17" s="33">
        <f t="shared" si="10"/>
        <v>39173.538862921429</v>
      </c>
      <c r="AH17" s="33">
        <f t="shared" si="10"/>
        <v>41983.721007937158</v>
      </c>
      <c r="AI17" s="33">
        <f t="shared" ref="AI17:BN17" si="11">AI13-AI16</f>
        <v>44894.079145762546</v>
      </c>
      <c r="AJ17" s="33">
        <f t="shared" si="11"/>
        <v>47902.409404555772</v>
      </c>
      <c r="AK17" s="33">
        <f t="shared" si="11"/>
        <v>51006.55639765555</v>
      </c>
      <c r="AL17" s="34">
        <f t="shared" si="11"/>
        <v>54204.412156907129</v>
      </c>
      <c r="AM17" s="33">
        <f t="shared" si="11"/>
        <v>57188.732738082799</v>
      </c>
      <c r="AN17" s="33">
        <f t="shared" si="11"/>
        <v>60281.335548797295</v>
      </c>
      <c r="AO17" s="33">
        <f t="shared" si="11"/>
        <v>63480.271508918959</v>
      </c>
      <c r="AP17" s="33">
        <f t="shared" si="11"/>
        <v>66783.62662175842</v>
      </c>
      <c r="AQ17" s="33">
        <f t="shared" si="11"/>
        <v>70189.521342566761</v>
      </c>
      <c r="AR17" s="33">
        <f t="shared" si="11"/>
        <v>73696.109958400557</v>
      </c>
      <c r="AS17" s="33">
        <f t="shared" si="11"/>
        <v>77319.579979149348</v>
      </c>
      <c r="AT17" s="33">
        <f t="shared" si="11"/>
        <v>81039.82753952466</v>
      </c>
      <c r="AU17" s="33">
        <f t="shared" si="11"/>
        <v>84855.110643813212</v>
      </c>
      <c r="AV17" s="33">
        <f t="shared" si="11"/>
        <v>88763.718652224561</v>
      </c>
      <c r="AW17" s="33">
        <f t="shared" si="11"/>
        <v>92763.971716484521</v>
      </c>
      <c r="AX17" s="34">
        <f t="shared" si="11"/>
        <v>96854.220225587807</v>
      </c>
      <c r="AY17" s="33">
        <f t="shared" si="11"/>
        <v>100801.406922204</v>
      </c>
      <c r="AZ17" s="33">
        <f t="shared" si="11"/>
        <v>104851.38581837094</v>
      </c>
      <c r="BA17" s="33">
        <f t="shared" si="11"/>
        <v>109002.61503109537</v>
      </c>
      <c r="BB17" s="33">
        <f t="shared" si="11"/>
        <v>113253.57580562893</v>
      </c>
      <c r="BC17" s="33">
        <f t="shared" si="11"/>
        <v>117602.7721685445</v>
      </c>
      <c r="BD17" s="33">
        <f t="shared" si="11"/>
        <v>122048.73058601635</v>
      </c>
      <c r="BE17" s="33">
        <f t="shared" si="11"/>
        <v>126607.99962722608</v>
      </c>
      <c r="BF17" s="33">
        <f t="shared" si="11"/>
        <v>131260.8796328177</v>
      </c>
      <c r="BG17" s="33">
        <f t="shared" si="11"/>
        <v>136005.96643832541</v>
      </c>
      <c r="BH17" s="33">
        <f t="shared" si="11"/>
        <v>140841.87694175052</v>
      </c>
      <c r="BI17" s="33">
        <f t="shared" si="11"/>
        <v>145767.24878762427</v>
      </c>
      <c r="BJ17" s="34">
        <f t="shared" si="11"/>
        <v>150780.7400558099</v>
      </c>
    </row>
    <row r="18" spans="1:62" x14ac:dyDescent="0.2">
      <c r="A18" s="20" t="s">
        <v>115</v>
      </c>
      <c r="C18" s="35">
        <f t="shared" ref="C18:AH18" si="12">IFERROR(C17/C13,0)</f>
        <v>0.9</v>
      </c>
      <c r="D18" s="35">
        <f t="shared" si="12"/>
        <v>0.89999999999999991</v>
      </c>
      <c r="E18" s="35">
        <f t="shared" si="12"/>
        <v>0.9</v>
      </c>
      <c r="F18" s="35">
        <f t="shared" si="12"/>
        <v>0.9</v>
      </c>
      <c r="G18" s="35">
        <f t="shared" si="12"/>
        <v>0.9</v>
      </c>
      <c r="H18" s="35">
        <f t="shared" si="12"/>
        <v>0.9</v>
      </c>
      <c r="I18" s="35">
        <f t="shared" si="12"/>
        <v>0.9</v>
      </c>
      <c r="J18" s="35">
        <f t="shared" si="12"/>
        <v>0.9</v>
      </c>
      <c r="K18" s="35">
        <f t="shared" si="12"/>
        <v>0.89999999999999991</v>
      </c>
      <c r="L18" s="35">
        <f t="shared" si="12"/>
        <v>0.89999999999999991</v>
      </c>
      <c r="M18" s="35">
        <f t="shared" si="12"/>
        <v>0.89999999999999991</v>
      </c>
      <c r="N18" s="36">
        <f t="shared" si="12"/>
        <v>0.9</v>
      </c>
      <c r="O18" s="35">
        <f t="shared" si="12"/>
        <v>0.9</v>
      </c>
      <c r="P18" s="35">
        <f t="shared" si="12"/>
        <v>0.9</v>
      </c>
      <c r="Q18" s="35">
        <f t="shared" si="12"/>
        <v>0.9</v>
      </c>
      <c r="R18" s="35">
        <f t="shared" si="12"/>
        <v>0.9</v>
      </c>
      <c r="S18" s="35">
        <f t="shared" si="12"/>
        <v>0.9</v>
      </c>
      <c r="T18" s="35">
        <f t="shared" si="12"/>
        <v>0.9</v>
      </c>
      <c r="U18" s="35">
        <f t="shared" si="12"/>
        <v>0.9</v>
      </c>
      <c r="V18" s="35">
        <f t="shared" si="12"/>
        <v>0.89999999999999991</v>
      </c>
      <c r="W18" s="35">
        <f t="shared" si="12"/>
        <v>0.9</v>
      </c>
      <c r="X18" s="35">
        <f t="shared" si="12"/>
        <v>0.9</v>
      </c>
      <c r="Y18" s="35">
        <f t="shared" si="12"/>
        <v>0.89999999999999991</v>
      </c>
      <c r="Z18" s="36">
        <f t="shared" si="12"/>
        <v>0.89999999999999991</v>
      </c>
      <c r="AA18" s="35">
        <f t="shared" si="12"/>
        <v>0.9</v>
      </c>
      <c r="AB18" s="35">
        <f t="shared" si="12"/>
        <v>0.9</v>
      </c>
      <c r="AC18" s="35">
        <f t="shared" si="12"/>
        <v>0.9</v>
      </c>
      <c r="AD18" s="35">
        <f t="shared" si="12"/>
        <v>0.9</v>
      </c>
      <c r="AE18" s="35">
        <f t="shared" si="12"/>
        <v>0.9</v>
      </c>
      <c r="AF18" s="35">
        <f t="shared" si="12"/>
        <v>0.89999999999999991</v>
      </c>
      <c r="AG18" s="35">
        <f t="shared" si="12"/>
        <v>0.89999999999999991</v>
      </c>
      <c r="AH18" s="35">
        <f t="shared" si="12"/>
        <v>0.89999999999999991</v>
      </c>
      <c r="AI18" s="35">
        <f t="shared" ref="AI18:BN18" si="13">IFERROR(AI17/AI13,0)</f>
        <v>0.9</v>
      </c>
      <c r="AJ18" s="35">
        <f t="shared" si="13"/>
        <v>0.9</v>
      </c>
      <c r="AK18" s="35">
        <f t="shared" si="13"/>
        <v>0.9</v>
      </c>
      <c r="AL18" s="36">
        <f t="shared" si="13"/>
        <v>0.9</v>
      </c>
      <c r="AM18" s="35">
        <f t="shared" si="13"/>
        <v>0.9</v>
      </c>
      <c r="AN18" s="35">
        <f t="shared" si="13"/>
        <v>0.89999999999999991</v>
      </c>
      <c r="AO18" s="35">
        <f t="shared" si="13"/>
        <v>0.9</v>
      </c>
      <c r="AP18" s="35">
        <f t="shared" si="13"/>
        <v>0.9</v>
      </c>
      <c r="AQ18" s="35">
        <f t="shared" si="13"/>
        <v>0.89999999999999991</v>
      </c>
      <c r="AR18" s="35">
        <f t="shared" si="13"/>
        <v>0.89999999999999991</v>
      </c>
      <c r="AS18" s="35">
        <f t="shared" si="13"/>
        <v>0.89999999999999991</v>
      </c>
      <c r="AT18" s="35">
        <f t="shared" si="13"/>
        <v>0.9</v>
      </c>
      <c r="AU18" s="35">
        <f t="shared" si="13"/>
        <v>0.9</v>
      </c>
      <c r="AV18" s="35">
        <f t="shared" si="13"/>
        <v>0.89999999999999991</v>
      </c>
      <c r="AW18" s="35">
        <f t="shared" si="13"/>
        <v>0.9</v>
      </c>
      <c r="AX18" s="36">
        <f t="shared" si="13"/>
        <v>0.9</v>
      </c>
      <c r="AY18" s="35">
        <f t="shared" si="13"/>
        <v>0.9</v>
      </c>
      <c r="AZ18" s="35">
        <f t="shared" si="13"/>
        <v>0.9</v>
      </c>
      <c r="BA18" s="35">
        <f t="shared" si="13"/>
        <v>0.9</v>
      </c>
      <c r="BB18" s="35">
        <f t="shared" si="13"/>
        <v>0.9</v>
      </c>
      <c r="BC18" s="35">
        <f t="shared" si="13"/>
        <v>0.89999999999999991</v>
      </c>
      <c r="BD18" s="35">
        <f t="shared" si="13"/>
        <v>0.9</v>
      </c>
      <c r="BE18" s="35">
        <f t="shared" si="13"/>
        <v>0.9</v>
      </c>
      <c r="BF18" s="35">
        <f t="shared" si="13"/>
        <v>0.9</v>
      </c>
      <c r="BG18" s="35">
        <f t="shared" si="13"/>
        <v>0.9</v>
      </c>
      <c r="BH18" s="35">
        <f t="shared" si="13"/>
        <v>0.89999999999999991</v>
      </c>
      <c r="BI18" s="35">
        <f t="shared" si="13"/>
        <v>0.89999999999999991</v>
      </c>
      <c r="BJ18" s="36">
        <f t="shared" si="13"/>
        <v>0.89999999999999991</v>
      </c>
    </row>
    <row r="19" spans="1:62" x14ac:dyDescent="0.2">
      <c r="N19" s="26"/>
      <c r="Z19" s="26"/>
      <c r="AL19" s="26"/>
      <c r="AX19" s="26"/>
      <c r="BJ19" s="26"/>
    </row>
    <row r="20" spans="1:62" x14ac:dyDescent="0.2">
      <c r="A20" s="20" t="s">
        <v>116</v>
      </c>
      <c r="C20" s="37">
        <f>INDEX(Assumptions!$B$33:$F$33,1,C5)</f>
        <v>150</v>
      </c>
      <c r="D20" s="37">
        <f>INDEX(Assumptions!$B$33:$F$33,1,D5)</f>
        <v>150</v>
      </c>
      <c r="E20" s="37">
        <f>INDEX(Assumptions!$B$33:$F$33,1,E5)</f>
        <v>150</v>
      </c>
      <c r="F20" s="37">
        <f>INDEX(Assumptions!$B$33:$F$33,1,F5)</f>
        <v>150</v>
      </c>
      <c r="G20" s="37">
        <f>INDEX(Assumptions!$B$33:$F$33,1,G5)</f>
        <v>150</v>
      </c>
      <c r="H20" s="37">
        <f>INDEX(Assumptions!$B$33:$F$33,1,H5)</f>
        <v>150</v>
      </c>
      <c r="I20" s="37">
        <f>INDEX(Assumptions!$B$33:$F$33,1,I5)</f>
        <v>150</v>
      </c>
      <c r="J20" s="37">
        <f>INDEX(Assumptions!$B$33:$F$33,1,J5)</f>
        <v>150</v>
      </c>
      <c r="K20" s="37">
        <f>INDEX(Assumptions!$B$33:$F$33,1,K5)</f>
        <v>150</v>
      </c>
      <c r="L20" s="37">
        <f>INDEX(Assumptions!$B$33:$F$33,1,L5)</f>
        <v>150</v>
      </c>
      <c r="M20" s="37">
        <f>INDEX(Assumptions!$B$33:$F$33,1,M5)</f>
        <v>150</v>
      </c>
      <c r="N20" s="38">
        <f>INDEX(Assumptions!$B$33:$F$33,1,N5)</f>
        <v>150</v>
      </c>
      <c r="O20" s="37">
        <f>INDEX(Assumptions!$B$33:$F$33,1,O5)</f>
        <v>500</v>
      </c>
      <c r="P20" s="37">
        <f>INDEX(Assumptions!$B$33:$F$33,1,P5)</f>
        <v>500</v>
      </c>
      <c r="Q20" s="37">
        <f>INDEX(Assumptions!$B$33:$F$33,1,Q5)</f>
        <v>500</v>
      </c>
      <c r="R20" s="37">
        <f>INDEX(Assumptions!$B$33:$F$33,1,R5)</f>
        <v>500</v>
      </c>
      <c r="S20" s="37">
        <f>INDEX(Assumptions!$B$33:$F$33,1,S5)</f>
        <v>500</v>
      </c>
      <c r="T20" s="37">
        <f>INDEX(Assumptions!$B$33:$F$33,1,T5)</f>
        <v>500</v>
      </c>
      <c r="U20" s="37">
        <f>INDEX(Assumptions!$B$33:$F$33,1,U5)</f>
        <v>500</v>
      </c>
      <c r="V20" s="37">
        <f>INDEX(Assumptions!$B$33:$F$33,1,V5)</f>
        <v>500</v>
      </c>
      <c r="W20" s="37">
        <f>INDEX(Assumptions!$B$33:$F$33,1,W5)</f>
        <v>500</v>
      </c>
      <c r="X20" s="37">
        <f>INDEX(Assumptions!$B$33:$F$33,1,X5)</f>
        <v>500</v>
      </c>
      <c r="Y20" s="37">
        <f>INDEX(Assumptions!$B$33:$F$33,1,Y5)</f>
        <v>500</v>
      </c>
      <c r="Z20" s="38">
        <f>INDEX(Assumptions!$B$33:$F$33,1,Z5)</f>
        <v>500</v>
      </c>
      <c r="AA20" s="37">
        <f>INDEX(Assumptions!$B$33:$F$33,1,AA5)</f>
        <v>1000</v>
      </c>
      <c r="AB20" s="37">
        <f>INDEX(Assumptions!$B$33:$F$33,1,AB5)</f>
        <v>1000</v>
      </c>
      <c r="AC20" s="37">
        <f>INDEX(Assumptions!$B$33:$F$33,1,AC5)</f>
        <v>1000</v>
      </c>
      <c r="AD20" s="37">
        <f>INDEX(Assumptions!$B$33:$F$33,1,AD5)</f>
        <v>1000</v>
      </c>
      <c r="AE20" s="37">
        <f>INDEX(Assumptions!$B$33:$F$33,1,AE5)</f>
        <v>1000</v>
      </c>
      <c r="AF20" s="37">
        <f>INDEX(Assumptions!$B$33:$F$33,1,AF5)</f>
        <v>1000</v>
      </c>
      <c r="AG20" s="37">
        <f>INDEX(Assumptions!$B$33:$F$33,1,AG5)</f>
        <v>1000</v>
      </c>
      <c r="AH20" s="37">
        <f>INDEX(Assumptions!$B$33:$F$33,1,AH5)</f>
        <v>1000</v>
      </c>
      <c r="AI20" s="37">
        <f>INDEX(Assumptions!$B$33:$F$33,1,AI5)</f>
        <v>1000</v>
      </c>
      <c r="AJ20" s="37">
        <f>INDEX(Assumptions!$B$33:$F$33,1,AJ5)</f>
        <v>1000</v>
      </c>
      <c r="AK20" s="37">
        <f>INDEX(Assumptions!$B$33:$F$33,1,AK5)</f>
        <v>1000</v>
      </c>
      <c r="AL20" s="38">
        <f>INDEX(Assumptions!$B$33:$F$33,1,AL5)</f>
        <v>1000</v>
      </c>
      <c r="AM20" s="37">
        <f>INDEX(Assumptions!$B$33:$F$33,1,AM5)</f>
        <v>1500</v>
      </c>
      <c r="AN20" s="37">
        <f>INDEX(Assumptions!$B$33:$F$33,1,AN5)</f>
        <v>1500</v>
      </c>
      <c r="AO20" s="37">
        <f>INDEX(Assumptions!$B$33:$F$33,1,AO5)</f>
        <v>1500</v>
      </c>
      <c r="AP20" s="37">
        <f>INDEX(Assumptions!$B$33:$F$33,1,AP5)</f>
        <v>1500</v>
      </c>
      <c r="AQ20" s="37">
        <f>INDEX(Assumptions!$B$33:$F$33,1,AQ5)</f>
        <v>1500</v>
      </c>
      <c r="AR20" s="37">
        <f>INDEX(Assumptions!$B$33:$F$33,1,AR5)</f>
        <v>1500</v>
      </c>
      <c r="AS20" s="37">
        <f>INDEX(Assumptions!$B$33:$F$33,1,AS5)</f>
        <v>1500</v>
      </c>
      <c r="AT20" s="37">
        <f>INDEX(Assumptions!$B$33:$F$33,1,AT5)</f>
        <v>1500</v>
      </c>
      <c r="AU20" s="37">
        <f>INDEX(Assumptions!$B$33:$F$33,1,AU5)</f>
        <v>1500</v>
      </c>
      <c r="AV20" s="37">
        <f>INDEX(Assumptions!$B$33:$F$33,1,AV5)</f>
        <v>1500</v>
      </c>
      <c r="AW20" s="37">
        <f>INDEX(Assumptions!$B$33:$F$33,1,AW5)</f>
        <v>1500</v>
      </c>
      <c r="AX20" s="38">
        <f>INDEX(Assumptions!$B$33:$F$33,1,AX5)</f>
        <v>1500</v>
      </c>
      <c r="AY20" s="37">
        <f>INDEX(Assumptions!$B$33:$F$33,1,AY5)</f>
        <v>2000</v>
      </c>
      <c r="AZ20" s="37">
        <f>INDEX(Assumptions!$B$33:$F$33,1,AZ5)</f>
        <v>2000</v>
      </c>
      <c r="BA20" s="37">
        <f>INDEX(Assumptions!$B$33:$F$33,1,BA5)</f>
        <v>2000</v>
      </c>
      <c r="BB20" s="37">
        <f>INDEX(Assumptions!$B$33:$F$33,1,BB5)</f>
        <v>2000</v>
      </c>
      <c r="BC20" s="37">
        <f>INDEX(Assumptions!$B$33:$F$33,1,BC5)</f>
        <v>2000</v>
      </c>
      <c r="BD20" s="37">
        <f>INDEX(Assumptions!$B$33:$F$33,1,BD5)</f>
        <v>2000</v>
      </c>
      <c r="BE20" s="37">
        <f>INDEX(Assumptions!$B$33:$F$33,1,BE5)</f>
        <v>2000</v>
      </c>
      <c r="BF20" s="37">
        <f>INDEX(Assumptions!$B$33:$F$33,1,BF5)</f>
        <v>2000</v>
      </c>
      <c r="BG20" s="37">
        <f>INDEX(Assumptions!$B$33:$F$33,1,BG5)</f>
        <v>2000</v>
      </c>
      <c r="BH20" s="37">
        <f>INDEX(Assumptions!$B$33:$F$33,1,BH5)</f>
        <v>2000</v>
      </c>
      <c r="BI20" s="37">
        <f>INDEX(Assumptions!$B$33:$F$33,1,BI5)</f>
        <v>2000</v>
      </c>
      <c r="BJ20" s="38">
        <f>INDEX(Assumptions!$B$33:$F$33,1,BJ5)</f>
        <v>2000</v>
      </c>
    </row>
    <row r="21" spans="1:62" x14ac:dyDescent="0.2">
      <c r="A21" s="20" t="s">
        <v>117</v>
      </c>
      <c r="C21" s="37">
        <f>INDEX(Assumptions!$B$35:$F$35,1,C5)/12</f>
        <v>0</v>
      </c>
      <c r="D21" s="37">
        <f>INDEX(Assumptions!$B$35:$F$35,1,D5)/12</f>
        <v>0</v>
      </c>
      <c r="E21" s="37">
        <f>INDEX(Assumptions!$B$35:$F$35,1,E5)/12</f>
        <v>0</v>
      </c>
      <c r="F21" s="37">
        <f>INDEX(Assumptions!$B$35:$F$35,1,F5)/12</f>
        <v>0</v>
      </c>
      <c r="G21" s="37">
        <f>INDEX(Assumptions!$B$35:$F$35,1,G5)/12</f>
        <v>0</v>
      </c>
      <c r="H21" s="37">
        <f>INDEX(Assumptions!$B$35:$F$35,1,H5)/12</f>
        <v>0</v>
      </c>
      <c r="I21" s="37">
        <f>INDEX(Assumptions!$B$35:$F$35,1,I5)/12</f>
        <v>0</v>
      </c>
      <c r="J21" s="37">
        <f>INDEX(Assumptions!$B$35:$F$35,1,J5)/12</f>
        <v>0</v>
      </c>
      <c r="K21" s="37">
        <f>INDEX(Assumptions!$B$35:$F$35,1,K5)/12</f>
        <v>0</v>
      </c>
      <c r="L21" s="37">
        <f>INDEX(Assumptions!$B$35:$F$35,1,L5)/12</f>
        <v>0</v>
      </c>
      <c r="M21" s="37">
        <f>INDEX(Assumptions!$B$35:$F$35,1,M5)/12</f>
        <v>0</v>
      </c>
      <c r="N21" s="38">
        <f>INDEX(Assumptions!$B$35:$F$35,1,N5)/12</f>
        <v>0</v>
      </c>
      <c r="O21" s="37">
        <f>INDEX(Assumptions!$B$35:$F$35,1,O5)/12</f>
        <v>4166.666666666667</v>
      </c>
      <c r="P21" s="37">
        <f>INDEX(Assumptions!$B$35:$F$35,1,P5)/12</f>
        <v>4166.666666666667</v>
      </c>
      <c r="Q21" s="37">
        <f>INDEX(Assumptions!$B$35:$F$35,1,Q5)/12</f>
        <v>4166.666666666667</v>
      </c>
      <c r="R21" s="37">
        <f>INDEX(Assumptions!$B$35:$F$35,1,R5)/12</f>
        <v>4166.666666666667</v>
      </c>
      <c r="S21" s="37">
        <f>INDEX(Assumptions!$B$35:$F$35,1,S5)/12</f>
        <v>4166.666666666667</v>
      </c>
      <c r="T21" s="37">
        <f>INDEX(Assumptions!$B$35:$F$35,1,T5)/12</f>
        <v>4166.666666666667</v>
      </c>
      <c r="U21" s="37">
        <f>INDEX(Assumptions!$B$35:$F$35,1,U5)/12</f>
        <v>4166.666666666667</v>
      </c>
      <c r="V21" s="37">
        <f>INDEX(Assumptions!$B$35:$F$35,1,V5)/12</f>
        <v>4166.666666666667</v>
      </c>
      <c r="W21" s="37">
        <f>INDEX(Assumptions!$B$35:$F$35,1,W5)/12</f>
        <v>4166.666666666667</v>
      </c>
      <c r="X21" s="37">
        <f>INDEX(Assumptions!$B$35:$F$35,1,X5)/12</f>
        <v>4166.666666666667</v>
      </c>
      <c r="Y21" s="37">
        <f>INDEX(Assumptions!$B$35:$F$35,1,Y5)/12</f>
        <v>4166.666666666667</v>
      </c>
      <c r="Z21" s="38">
        <f>INDEX(Assumptions!$B$35:$F$35,1,Z5)/12</f>
        <v>4166.666666666667</v>
      </c>
      <c r="AA21" s="37">
        <f>INDEX(Assumptions!$B$35:$F$35,1,AA5)/12</f>
        <v>10833.333333333334</v>
      </c>
      <c r="AB21" s="37">
        <f>INDEX(Assumptions!$B$35:$F$35,1,AB5)/12</f>
        <v>10833.333333333334</v>
      </c>
      <c r="AC21" s="37">
        <f>INDEX(Assumptions!$B$35:$F$35,1,AC5)/12</f>
        <v>10833.333333333334</v>
      </c>
      <c r="AD21" s="37">
        <f>INDEX(Assumptions!$B$35:$F$35,1,AD5)/12</f>
        <v>10833.333333333334</v>
      </c>
      <c r="AE21" s="37">
        <f>INDEX(Assumptions!$B$35:$F$35,1,AE5)/12</f>
        <v>10833.333333333334</v>
      </c>
      <c r="AF21" s="37">
        <f>INDEX(Assumptions!$B$35:$F$35,1,AF5)/12</f>
        <v>10833.333333333334</v>
      </c>
      <c r="AG21" s="37">
        <f>INDEX(Assumptions!$B$35:$F$35,1,AG5)/12</f>
        <v>10833.333333333334</v>
      </c>
      <c r="AH21" s="37">
        <f>INDEX(Assumptions!$B$35:$F$35,1,AH5)/12</f>
        <v>10833.333333333334</v>
      </c>
      <c r="AI21" s="37">
        <f>INDEX(Assumptions!$B$35:$F$35,1,AI5)/12</f>
        <v>10833.333333333334</v>
      </c>
      <c r="AJ21" s="37">
        <f>INDEX(Assumptions!$B$35:$F$35,1,AJ5)/12</f>
        <v>10833.333333333334</v>
      </c>
      <c r="AK21" s="37">
        <f>INDEX(Assumptions!$B$35:$F$35,1,AK5)/12</f>
        <v>10833.333333333334</v>
      </c>
      <c r="AL21" s="38">
        <f>INDEX(Assumptions!$B$35:$F$35,1,AL5)/12</f>
        <v>10833.333333333334</v>
      </c>
      <c r="AM21" s="37">
        <f>INDEX(Assumptions!$B$35:$F$35,1,AM5)/12</f>
        <v>14166.666666666666</v>
      </c>
      <c r="AN21" s="37">
        <f>INDEX(Assumptions!$B$35:$F$35,1,AN5)/12</f>
        <v>14166.666666666666</v>
      </c>
      <c r="AO21" s="37">
        <f>INDEX(Assumptions!$B$35:$F$35,1,AO5)/12</f>
        <v>14166.666666666666</v>
      </c>
      <c r="AP21" s="37">
        <f>INDEX(Assumptions!$B$35:$F$35,1,AP5)/12</f>
        <v>14166.666666666666</v>
      </c>
      <c r="AQ21" s="37">
        <f>INDEX(Assumptions!$B$35:$F$35,1,AQ5)/12</f>
        <v>14166.666666666666</v>
      </c>
      <c r="AR21" s="37">
        <f>INDEX(Assumptions!$B$35:$F$35,1,AR5)/12</f>
        <v>14166.666666666666</v>
      </c>
      <c r="AS21" s="37">
        <f>INDEX(Assumptions!$B$35:$F$35,1,AS5)/12</f>
        <v>14166.666666666666</v>
      </c>
      <c r="AT21" s="37">
        <f>INDEX(Assumptions!$B$35:$F$35,1,AT5)/12</f>
        <v>14166.666666666666</v>
      </c>
      <c r="AU21" s="37">
        <f>INDEX(Assumptions!$B$35:$F$35,1,AU5)/12</f>
        <v>14166.666666666666</v>
      </c>
      <c r="AV21" s="37">
        <f>INDEX(Assumptions!$B$35:$F$35,1,AV5)/12</f>
        <v>14166.666666666666</v>
      </c>
      <c r="AW21" s="37">
        <f>INDEX(Assumptions!$B$35:$F$35,1,AW5)/12</f>
        <v>14166.666666666666</v>
      </c>
      <c r="AX21" s="38">
        <f>INDEX(Assumptions!$B$35:$F$35,1,AX5)/12</f>
        <v>14166.666666666666</v>
      </c>
      <c r="AY21" s="37">
        <f>INDEX(Assumptions!$B$35:$F$35,1,AY5)/12</f>
        <v>18333.333333333332</v>
      </c>
      <c r="AZ21" s="37">
        <f>INDEX(Assumptions!$B$35:$F$35,1,AZ5)/12</f>
        <v>18333.333333333332</v>
      </c>
      <c r="BA21" s="37">
        <f>INDEX(Assumptions!$B$35:$F$35,1,BA5)/12</f>
        <v>18333.333333333332</v>
      </c>
      <c r="BB21" s="37">
        <f>INDEX(Assumptions!$B$35:$F$35,1,BB5)/12</f>
        <v>18333.333333333332</v>
      </c>
      <c r="BC21" s="37">
        <f>INDEX(Assumptions!$B$35:$F$35,1,BC5)/12</f>
        <v>18333.333333333332</v>
      </c>
      <c r="BD21" s="37">
        <f>INDEX(Assumptions!$B$35:$F$35,1,BD5)/12</f>
        <v>18333.333333333332</v>
      </c>
      <c r="BE21" s="37">
        <f>INDEX(Assumptions!$B$35:$F$35,1,BE5)/12</f>
        <v>18333.333333333332</v>
      </c>
      <c r="BF21" s="37">
        <f>INDEX(Assumptions!$B$35:$F$35,1,BF5)/12</f>
        <v>18333.333333333332</v>
      </c>
      <c r="BG21" s="37">
        <f>INDEX(Assumptions!$B$35:$F$35,1,BG5)/12</f>
        <v>18333.333333333332</v>
      </c>
      <c r="BH21" s="37">
        <f>INDEX(Assumptions!$B$35:$F$35,1,BH5)/12</f>
        <v>18333.333333333332</v>
      </c>
      <c r="BI21" s="37">
        <f>INDEX(Assumptions!$B$35:$F$35,1,BI5)/12</f>
        <v>18333.333333333332</v>
      </c>
      <c r="BJ21" s="38">
        <f>INDEX(Assumptions!$B$35:$F$35,1,BJ5)/12</f>
        <v>18333.333333333332</v>
      </c>
    </row>
    <row r="22" spans="1:62" x14ac:dyDescent="0.2">
      <c r="A22" s="20" t="s">
        <v>118</v>
      </c>
      <c r="C22" s="33">
        <f t="shared" ref="C22:AH22" si="14">C20+C21</f>
        <v>150</v>
      </c>
      <c r="D22" s="33">
        <f t="shared" si="14"/>
        <v>150</v>
      </c>
      <c r="E22" s="33">
        <f t="shared" si="14"/>
        <v>150</v>
      </c>
      <c r="F22" s="33">
        <f t="shared" si="14"/>
        <v>150</v>
      </c>
      <c r="G22" s="33">
        <f t="shared" si="14"/>
        <v>150</v>
      </c>
      <c r="H22" s="33">
        <f t="shared" si="14"/>
        <v>150</v>
      </c>
      <c r="I22" s="33">
        <f t="shared" si="14"/>
        <v>150</v>
      </c>
      <c r="J22" s="33">
        <f t="shared" si="14"/>
        <v>150</v>
      </c>
      <c r="K22" s="33">
        <f t="shared" si="14"/>
        <v>150</v>
      </c>
      <c r="L22" s="33">
        <f t="shared" si="14"/>
        <v>150</v>
      </c>
      <c r="M22" s="33">
        <f t="shared" si="14"/>
        <v>150</v>
      </c>
      <c r="N22" s="34">
        <f t="shared" si="14"/>
        <v>150</v>
      </c>
      <c r="O22" s="33">
        <f t="shared" si="14"/>
        <v>4666.666666666667</v>
      </c>
      <c r="P22" s="33">
        <f t="shared" si="14"/>
        <v>4666.666666666667</v>
      </c>
      <c r="Q22" s="33">
        <f t="shared" si="14"/>
        <v>4666.666666666667</v>
      </c>
      <c r="R22" s="33">
        <f t="shared" si="14"/>
        <v>4666.666666666667</v>
      </c>
      <c r="S22" s="33">
        <f t="shared" si="14"/>
        <v>4666.666666666667</v>
      </c>
      <c r="T22" s="33">
        <f t="shared" si="14"/>
        <v>4666.666666666667</v>
      </c>
      <c r="U22" s="33">
        <f t="shared" si="14"/>
        <v>4666.666666666667</v>
      </c>
      <c r="V22" s="33">
        <f t="shared" si="14"/>
        <v>4666.666666666667</v>
      </c>
      <c r="W22" s="33">
        <f t="shared" si="14"/>
        <v>4666.666666666667</v>
      </c>
      <c r="X22" s="33">
        <f t="shared" si="14"/>
        <v>4666.666666666667</v>
      </c>
      <c r="Y22" s="33">
        <f t="shared" si="14"/>
        <v>4666.666666666667</v>
      </c>
      <c r="Z22" s="34">
        <f t="shared" si="14"/>
        <v>4666.666666666667</v>
      </c>
      <c r="AA22" s="33">
        <f t="shared" si="14"/>
        <v>11833.333333333334</v>
      </c>
      <c r="AB22" s="33">
        <f t="shared" si="14"/>
        <v>11833.333333333334</v>
      </c>
      <c r="AC22" s="33">
        <f t="shared" si="14"/>
        <v>11833.333333333334</v>
      </c>
      <c r="AD22" s="33">
        <f t="shared" si="14"/>
        <v>11833.333333333334</v>
      </c>
      <c r="AE22" s="33">
        <f t="shared" si="14"/>
        <v>11833.333333333334</v>
      </c>
      <c r="AF22" s="33">
        <f t="shared" si="14"/>
        <v>11833.333333333334</v>
      </c>
      <c r="AG22" s="33">
        <f t="shared" si="14"/>
        <v>11833.333333333334</v>
      </c>
      <c r="AH22" s="33">
        <f t="shared" si="14"/>
        <v>11833.333333333334</v>
      </c>
      <c r="AI22" s="33">
        <f t="shared" ref="AI22:BN22" si="15">AI20+AI21</f>
        <v>11833.333333333334</v>
      </c>
      <c r="AJ22" s="33">
        <f t="shared" si="15"/>
        <v>11833.333333333334</v>
      </c>
      <c r="AK22" s="33">
        <f t="shared" si="15"/>
        <v>11833.333333333334</v>
      </c>
      <c r="AL22" s="34">
        <f t="shared" si="15"/>
        <v>11833.333333333334</v>
      </c>
      <c r="AM22" s="33">
        <f t="shared" si="15"/>
        <v>15666.666666666666</v>
      </c>
      <c r="AN22" s="33">
        <f t="shared" si="15"/>
        <v>15666.666666666666</v>
      </c>
      <c r="AO22" s="33">
        <f t="shared" si="15"/>
        <v>15666.666666666666</v>
      </c>
      <c r="AP22" s="33">
        <f t="shared" si="15"/>
        <v>15666.666666666666</v>
      </c>
      <c r="AQ22" s="33">
        <f t="shared" si="15"/>
        <v>15666.666666666666</v>
      </c>
      <c r="AR22" s="33">
        <f t="shared" si="15"/>
        <v>15666.666666666666</v>
      </c>
      <c r="AS22" s="33">
        <f t="shared" si="15"/>
        <v>15666.666666666666</v>
      </c>
      <c r="AT22" s="33">
        <f t="shared" si="15"/>
        <v>15666.666666666666</v>
      </c>
      <c r="AU22" s="33">
        <f t="shared" si="15"/>
        <v>15666.666666666666</v>
      </c>
      <c r="AV22" s="33">
        <f t="shared" si="15"/>
        <v>15666.666666666666</v>
      </c>
      <c r="AW22" s="33">
        <f t="shared" si="15"/>
        <v>15666.666666666666</v>
      </c>
      <c r="AX22" s="34">
        <f t="shared" si="15"/>
        <v>15666.666666666666</v>
      </c>
      <c r="AY22" s="33">
        <f t="shared" si="15"/>
        <v>20333.333333333332</v>
      </c>
      <c r="AZ22" s="33">
        <f t="shared" si="15"/>
        <v>20333.333333333332</v>
      </c>
      <c r="BA22" s="33">
        <f t="shared" si="15"/>
        <v>20333.333333333332</v>
      </c>
      <c r="BB22" s="33">
        <f t="shared" si="15"/>
        <v>20333.333333333332</v>
      </c>
      <c r="BC22" s="33">
        <f t="shared" si="15"/>
        <v>20333.333333333332</v>
      </c>
      <c r="BD22" s="33">
        <f t="shared" si="15"/>
        <v>20333.333333333332</v>
      </c>
      <c r="BE22" s="33">
        <f t="shared" si="15"/>
        <v>20333.333333333332</v>
      </c>
      <c r="BF22" s="33">
        <f t="shared" si="15"/>
        <v>20333.333333333332</v>
      </c>
      <c r="BG22" s="33">
        <f t="shared" si="15"/>
        <v>20333.333333333332</v>
      </c>
      <c r="BH22" s="33">
        <f t="shared" si="15"/>
        <v>20333.333333333332</v>
      </c>
      <c r="BI22" s="33">
        <f t="shared" si="15"/>
        <v>20333.333333333332</v>
      </c>
      <c r="BJ22" s="34">
        <f t="shared" si="15"/>
        <v>20333.333333333332</v>
      </c>
    </row>
    <row r="23" spans="1:62" x14ac:dyDescent="0.2">
      <c r="N23" s="26"/>
      <c r="Z23" s="26"/>
      <c r="AL23" s="26"/>
      <c r="AX23" s="26"/>
      <c r="BJ23" s="26"/>
    </row>
    <row r="24" spans="1:62" x14ac:dyDescent="0.2">
      <c r="A24" s="20" t="s">
        <v>119</v>
      </c>
      <c r="C24" s="33">
        <f t="shared" ref="C24:AH24" si="16">C17-C22</f>
        <v>30</v>
      </c>
      <c r="D24" s="33">
        <f t="shared" si="16"/>
        <v>273.89999999999998</v>
      </c>
      <c r="E24" s="33">
        <f t="shared" si="16"/>
        <v>560.82449999999994</v>
      </c>
      <c r="F24" s="33">
        <f t="shared" si="16"/>
        <v>906.83739749999995</v>
      </c>
      <c r="G24" s="33">
        <f t="shared" si="16"/>
        <v>1309.2797146125001</v>
      </c>
      <c r="H24" s="33">
        <f t="shared" si="16"/>
        <v>1747.6121274549375</v>
      </c>
      <c r="I24" s="33">
        <f t="shared" si="16"/>
        <v>2238.2195817194656</v>
      </c>
      <c r="J24" s="33">
        <f t="shared" si="16"/>
        <v>2760.7497005420896</v>
      </c>
      <c r="K24" s="33">
        <f t="shared" si="16"/>
        <v>3331.7659640176953</v>
      </c>
      <c r="L24" s="33">
        <f t="shared" si="16"/>
        <v>3949.0864956368987</v>
      </c>
      <c r="M24" s="33">
        <f t="shared" si="16"/>
        <v>4592.6276033332388</v>
      </c>
      <c r="N24" s="34">
        <f t="shared" si="16"/>
        <v>5279.2093611832433</v>
      </c>
      <c r="O24" s="33">
        <f t="shared" si="16"/>
        <v>1679.6664136810787</v>
      </c>
      <c r="P24" s="33">
        <f t="shared" si="16"/>
        <v>2695.276421270647</v>
      </c>
      <c r="Q24" s="33">
        <f t="shared" si="16"/>
        <v>3824.4181286325265</v>
      </c>
      <c r="R24" s="33">
        <f t="shared" si="16"/>
        <v>5045.6855847735524</v>
      </c>
      <c r="S24" s="33">
        <f t="shared" si="16"/>
        <v>6356.315017230344</v>
      </c>
      <c r="T24" s="33">
        <f t="shared" si="16"/>
        <v>7753.6255667134328</v>
      </c>
      <c r="U24" s="33">
        <f t="shared" si="16"/>
        <v>9253.0167997120298</v>
      </c>
      <c r="V24" s="33">
        <f t="shared" si="16"/>
        <v>10833.426295720667</v>
      </c>
      <c r="W24" s="33">
        <f t="shared" si="16"/>
        <v>12492.423506849049</v>
      </c>
      <c r="X24" s="33">
        <f t="shared" si="16"/>
        <v>14227.650801643576</v>
      </c>
      <c r="Y24" s="33">
        <f t="shared" si="16"/>
        <v>16054.821277594267</v>
      </c>
      <c r="Z24" s="34">
        <f t="shared" si="16"/>
        <v>17953.176639266439</v>
      </c>
      <c r="AA24" s="33">
        <f t="shared" si="16"/>
        <v>12808.873419869249</v>
      </c>
      <c r="AB24" s="33">
        <f t="shared" si="16"/>
        <v>14948.744871298792</v>
      </c>
      <c r="AC24" s="33">
        <f t="shared" si="16"/>
        <v>17203.539150796889</v>
      </c>
      <c r="AD24" s="33">
        <f t="shared" si="16"/>
        <v>19570.727956146024</v>
      </c>
      <c r="AE24" s="33">
        <f t="shared" si="16"/>
        <v>22047.838607777478</v>
      </c>
      <c r="AF24" s="33">
        <f t="shared" si="16"/>
        <v>24632.452825073036</v>
      </c>
      <c r="AG24" s="33">
        <f t="shared" si="16"/>
        <v>27340.205529588093</v>
      </c>
      <c r="AH24" s="33">
        <f t="shared" si="16"/>
        <v>30150.387674603822</v>
      </c>
      <c r="AI24" s="33">
        <f t="shared" ref="AI24:BJ24" si="17">AI17-AI22</f>
        <v>33060.74581242921</v>
      </c>
      <c r="AJ24" s="33">
        <f t="shared" si="17"/>
        <v>36069.076071222436</v>
      </c>
      <c r="AK24" s="33">
        <f t="shared" si="17"/>
        <v>39173.223064322214</v>
      </c>
      <c r="AL24" s="34">
        <f t="shared" si="17"/>
        <v>42371.078823573793</v>
      </c>
      <c r="AM24" s="33">
        <f t="shared" si="17"/>
        <v>41522.066071416135</v>
      </c>
      <c r="AN24" s="33">
        <f t="shared" si="17"/>
        <v>44614.668882130631</v>
      </c>
      <c r="AO24" s="33">
        <f t="shared" si="17"/>
        <v>47813.604842252294</v>
      </c>
      <c r="AP24" s="33">
        <f t="shared" si="17"/>
        <v>51116.959955091756</v>
      </c>
      <c r="AQ24" s="33">
        <f t="shared" si="17"/>
        <v>54522.854675900096</v>
      </c>
      <c r="AR24" s="33">
        <f t="shared" si="17"/>
        <v>58029.443291733893</v>
      </c>
      <c r="AS24" s="33">
        <f t="shared" si="17"/>
        <v>61652.913312482684</v>
      </c>
      <c r="AT24" s="33">
        <f t="shared" si="17"/>
        <v>65373.160872857996</v>
      </c>
      <c r="AU24" s="33">
        <f t="shared" si="17"/>
        <v>69188.44397714654</v>
      </c>
      <c r="AV24" s="33">
        <f t="shared" si="17"/>
        <v>73097.05198555789</v>
      </c>
      <c r="AW24" s="33">
        <f t="shared" si="17"/>
        <v>77097.305049817849</v>
      </c>
      <c r="AX24" s="34">
        <f t="shared" si="17"/>
        <v>81187.553558921136</v>
      </c>
      <c r="AY24" s="33">
        <f t="shared" si="17"/>
        <v>80468.073588870669</v>
      </c>
      <c r="AZ24" s="33">
        <f t="shared" si="17"/>
        <v>84518.05248503761</v>
      </c>
      <c r="BA24" s="33">
        <f t="shared" si="17"/>
        <v>88669.281697762039</v>
      </c>
      <c r="BB24" s="33">
        <f t="shared" si="17"/>
        <v>92920.242472295606</v>
      </c>
      <c r="BC24" s="33">
        <f t="shared" si="17"/>
        <v>97269.438835211171</v>
      </c>
      <c r="BD24" s="33">
        <f t="shared" si="17"/>
        <v>101715.39725268302</v>
      </c>
      <c r="BE24" s="33">
        <f t="shared" si="17"/>
        <v>106274.66629389275</v>
      </c>
      <c r="BF24" s="33">
        <f t="shared" si="17"/>
        <v>110927.54629948437</v>
      </c>
      <c r="BG24" s="33">
        <f t="shared" si="17"/>
        <v>115672.63310499208</v>
      </c>
      <c r="BH24" s="33">
        <f t="shared" si="17"/>
        <v>120508.5436084172</v>
      </c>
      <c r="BI24" s="33">
        <f t="shared" si="17"/>
        <v>125433.91545429094</v>
      </c>
      <c r="BJ24" s="34">
        <f t="shared" si="17"/>
        <v>130447.40672247657</v>
      </c>
    </row>
    <row r="25" spans="1:62" x14ac:dyDescent="0.2">
      <c r="A25" s="20" t="s">
        <v>120</v>
      </c>
      <c r="C25" s="33">
        <f>C24</f>
        <v>30</v>
      </c>
      <c r="D25" s="33">
        <f t="shared" ref="D25:AI25" si="18">C25+D24</f>
        <v>303.89999999999998</v>
      </c>
      <c r="E25" s="33">
        <f t="shared" si="18"/>
        <v>864.72449999999992</v>
      </c>
      <c r="F25" s="33">
        <f t="shared" si="18"/>
        <v>1771.5618974999998</v>
      </c>
      <c r="G25" s="33">
        <f t="shared" si="18"/>
        <v>3080.8416121125001</v>
      </c>
      <c r="H25" s="33">
        <f t="shared" si="18"/>
        <v>4828.4537395674379</v>
      </c>
      <c r="I25" s="33">
        <f t="shared" si="18"/>
        <v>7066.673321286904</v>
      </c>
      <c r="J25" s="33">
        <f t="shared" si="18"/>
        <v>9827.423021828994</v>
      </c>
      <c r="K25" s="33">
        <f t="shared" si="18"/>
        <v>13159.188985846689</v>
      </c>
      <c r="L25" s="33">
        <f t="shared" si="18"/>
        <v>17108.275481483586</v>
      </c>
      <c r="M25" s="33">
        <f t="shared" si="18"/>
        <v>21700.903084816826</v>
      </c>
      <c r="N25" s="34">
        <f t="shared" si="18"/>
        <v>26980.112446000068</v>
      </c>
      <c r="O25" s="33">
        <f t="shared" si="18"/>
        <v>28659.778859681148</v>
      </c>
      <c r="P25" s="33">
        <f t="shared" si="18"/>
        <v>31355.055280951794</v>
      </c>
      <c r="Q25" s="33">
        <f t="shared" si="18"/>
        <v>35179.473409584323</v>
      </c>
      <c r="R25" s="33">
        <f t="shared" si="18"/>
        <v>40225.158994357873</v>
      </c>
      <c r="S25" s="33">
        <f t="shared" si="18"/>
        <v>46581.474011588216</v>
      </c>
      <c r="T25" s="33">
        <f t="shared" si="18"/>
        <v>54335.099578301648</v>
      </c>
      <c r="U25" s="33">
        <f t="shared" si="18"/>
        <v>63588.116378013678</v>
      </c>
      <c r="V25" s="33">
        <f t="shared" si="18"/>
        <v>74421.542673734337</v>
      </c>
      <c r="W25" s="33">
        <f t="shared" si="18"/>
        <v>86913.966180583389</v>
      </c>
      <c r="X25" s="33">
        <f t="shared" si="18"/>
        <v>101141.61698222696</v>
      </c>
      <c r="Y25" s="33">
        <f t="shared" si="18"/>
        <v>117196.43825982123</v>
      </c>
      <c r="Z25" s="34">
        <f t="shared" si="18"/>
        <v>135149.61489908767</v>
      </c>
      <c r="AA25" s="33">
        <f t="shared" si="18"/>
        <v>147958.48831895692</v>
      </c>
      <c r="AB25" s="33">
        <f t="shared" si="18"/>
        <v>162907.23319025571</v>
      </c>
      <c r="AC25" s="33">
        <f t="shared" si="18"/>
        <v>180110.77234105259</v>
      </c>
      <c r="AD25" s="33">
        <f t="shared" si="18"/>
        <v>199681.50029719863</v>
      </c>
      <c r="AE25" s="33">
        <f t="shared" si="18"/>
        <v>221729.33890497609</v>
      </c>
      <c r="AF25" s="33">
        <f t="shared" si="18"/>
        <v>246361.79173004912</v>
      </c>
      <c r="AG25" s="33">
        <f t="shared" si="18"/>
        <v>273701.99725963722</v>
      </c>
      <c r="AH25" s="33">
        <f t="shared" si="18"/>
        <v>303852.38493424107</v>
      </c>
      <c r="AI25" s="33">
        <f t="shared" si="18"/>
        <v>336913.1307466703</v>
      </c>
      <c r="AJ25" s="33">
        <f t="shared" ref="AJ25:BO25" si="19">AI25+AJ24</f>
        <v>372982.20681789273</v>
      </c>
      <c r="AK25" s="33">
        <f t="shared" si="19"/>
        <v>412155.42988221493</v>
      </c>
      <c r="AL25" s="34">
        <f t="shared" si="19"/>
        <v>454526.5087057887</v>
      </c>
      <c r="AM25" s="33">
        <f t="shared" si="19"/>
        <v>496048.57477720483</v>
      </c>
      <c r="AN25" s="33">
        <f t="shared" si="19"/>
        <v>540663.24365933542</v>
      </c>
      <c r="AO25" s="33">
        <f t="shared" si="19"/>
        <v>588476.84850158775</v>
      </c>
      <c r="AP25" s="33">
        <f t="shared" si="19"/>
        <v>639593.80845667946</v>
      </c>
      <c r="AQ25" s="33">
        <f t="shared" si="19"/>
        <v>694116.66313257953</v>
      </c>
      <c r="AR25" s="33">
        <f t="shared" si="19"/>
        <v>752146.10642431339</v>
      </c>
      <c r="AS25" s="33">
        <f t="shared" si="19"/>
        <v>813799.01973679604</v>
      </c>
      <c r="AT25" s="33">
        <f t="shared" si="19"/>
        <v>879172.18060965405</v>
      </c>
      <c r="AU25" s="33">
        <f t="shared" si="19"/>
        <v>948360.62458680058</v>
      </c>
      <c r="AV25" s="33">
        <f t="shared" si="19"/>
        <v>1021457.6765723585</v>
      </c>
      <c r="AW25" s="33">
        <f t="shared" si="19"/>
        <v>1098554.9816221762</v>
      </c>
      <c r="AX25" s="34">
        <f t="shared" si="19"/>
        <v>1179742.5351810975</v>
      </c>
      <c r="AY25" s="33">
        <f t="shared" si="19"/>
        <v>1260210.6087699682</v>
      </c>
      <c r="AZ25" s="33">
        <f t="shared" si="19"/>
        <v>1344728.6612550057</v>
      </c>
      <c r="BA25" s="33">
        <f t="shared" si="19"/>
        <v>1433397.9429527677</v>
      </c>
      <c r="BB25" s="33">
        <f t="shared" si="19"/>
        <v>1526318.1854250634</v>
      </c>
      <c r="BC25" s="33">
        <f t="shared" si="19"/>
        <v>1623587.6242602745</v>
      </c>
      <c r="BD25" s="33">
        <f t="shared" si="19"/>
        <v>1725303.0215129575</v>
      </c>
      <c r="BE25" s="33">
        <f t="shared" si="19"/>
        <v>1831577.6878068503</v>
      </c>
      <c r="BF25" s="33">
        <f t="shared" si="19"/>
        <v>1942505.2341063346</v>
      </c>
      <c r="BG25" s="33">
        <f t="shared" si="19"/>
        <v>2058177.8672113267</v>
      </c>
      <c r="BH25" s="33">
        <f t="shared" si="19"/>
        <v>2178686.4108197438</v>
      </c>
      <c r="BI25" s="33">
        <f t="shared" si="19"/>
        <v>2304120.3262740346</v>
      </c>
      <c r="BJ25" s="34">
        <f t="shared" si="19"/>
        <v>2434567.7329965113</v>
      </c>
    </row>
    <row r="27" spans="1:62" x14ac:dyDescent="0.2">
      <c r="A27" s="20" t="s">
        <v>121</v>
      </c>
      <c r="C27" s="39">
        <f t="shared" ref="C27:AH27" si="20">IF(C24&gt;0,1,0)</f>
        <v>1</v>
      </c>
      <c r="D27" s="39">
        <f t="shared" si="20"/>
        <v>1</v>
      </c>
      <c r="E27" s="39">
        <f t="shared" si="20"/>
        <v>1</v>
      </c>
      <c r="F27" s="39">
        <f t="shared" si="20"/>
        <v>1</v>
      </c>
      <c r="G27" s="39">
        <f t="shared" si="20"/>
        <v>1</v>
      </c>
      <c r="H27" s="39">
        <f t="shared" si="20"/>
        <v>1</v>
      </c>
      <c r="I27" s="39">
        <f t="shared" si="20"/>
        <v>1</v>
      </c>
      <c r="J27" s="39">
        <f t="shared" si="20"/>
        <v>1</v>
      </c>
      <c r="K27" s="39">
        <f t="shared" si="20"/>
        <v>1</v>
      </c>
      <c r="L27" s="39">
        <f t="shared" si="20"/>
        <v>1</v>
      </c>
      <c r="M27" s="39">
        <f t="shared" si="20"/>
        <v>1</v>
      </c>
      <c r="N27" s="39">
        <f t="shared" si="20"/>
        <v>1</v>
      </c>
      <c r="O27" s="39">
        <f t="shared" si="20"/>
        <v>1</v>
      </c>
      <c r="P27" s="39">
        <f t="shared" si="20"/>
        <v>1</v>
      </c>
      <c r="Q27" s="39">
        <f t="shared" si="20"/>
        <v>1</v>
      </c>
      <c r="R27" s="39">
        <f t="shared" si="20"/>
        <v>1</v>
      </c>
      <c r="S27" s="39">
        <f t="shared" si="20"/>
        <v>1</v>
      </c>
      <c r="T27" s="39">
        <f t="shared" si="20"/>
        <v>1</v>
      </c>
      <c r="U27" s="39">
        <f t="shared" si="20"/>
        <v>1</v>
      </c>
      <c r="V27" s="39">
        <f t="shared" si="20"/>
        <v>1</v>
      </c>
      <c r="W27" s="39">
        <f t="shared" si="20"/>
        <v>1</v>
      </c>
      <c r="X27" s="39">
        <f t="shared" si="20"/>
        <v>1</v>
      </c>
      <c r="Y27" s="39">
        <f t="shared" si="20"/>
        <v>1</v>
      </c>
      <c r="Z27" s="39">
        <f t="shared" si="20"/>
        <v>1</v>
      </c>
      <c r="AA27" s="39">
        <f t="shared" si="20"/>
        <v>1</v>
      </c>
      <c r="AB27" s="39">
        <f t="shared" si="20"/>
        <v>1</v>
      </c>
      <c r="AC27" s="39">
        <f t="shared" si="20"/>
        <v>1</v>
      </c>
      <c r="AD27" s="39">
        <f t="shared" si="20"/>
        <v>1</v>
      </c>
      <c r="AE27" s="39">
        <f t="shared" si="20"/>
        <v>1</v>
      </c>
      <c r="AF27" s="39">
        <f t="shared" si="20"/>
        <v>1</v>
      </c>
      <c r="AG27" s="39">
        <f t="shared" si="20"/>
        <v>1</v>
      </c>
      <c r="AH27" s="39">
        <f t="shared" si="20"/>
        <v>1</v>
      </c>
      <c r="AI27" s="39">
        <f t="shared" ref="AI27:BJ27" si="21">IF(AI24&gt;0,1,0)</f>
        <v>1</v>
      </c>
      <c r="AJ27" s="39">
        <f t="shared" si="21"/>
        <v>1</v>
      </c>
      <c r="AK27" s="39">
        <f t="shared" si="21"/>
        <v>1</v>
      </c>
      <c r="AL27" s="39">
        <f t="shared" si="21"/>
        <v>1</v>
      </c>
      <c r="AM27" s="39">
        <f t="shared" si="21"/>
        <v>1</v>
      </c>
      <c r="AN27" s="39">
        <f t="shared" si="21"/>
        <v>1</v>
      </c>
      <c r="AO27" s="39">
        <f t="shared" si="21"/>
        <v>1</v>
      </c>
      <c r="AP27" s="39">
        <f t="shared" si="21"/>
        <v>1</v>
      </c>
      <c r="AQ27" s="39">
        <f t="shared" si="21"/>
        <v>1</v>
      </c>
      <c r="AR27" s="39">
        <f t="shared" si="21"/>
        <v>1</v>
      </c>
      <c r="AS27" s="39">
        <f t="shared" si="21"/>
        <v>1</v>
      </c>
      <c r="AT27" s="39">
        <f t="shared" si="21"/>
        <v>1</v>
      </c>
      <c r="AU27" s="39">
        <f t="shared" si="21"/>
        <v>1</v>
      </c>
      <c r="AV27" s="39">
        <f t="shared" si="21"/>
        <v>1</v>
      </c>
      <c r="AW27" s="39">
        <f t="shared" si="21"/>
        <v>1</v>
      </c>
      <c r="AX27" s="39">
        <f t="shared" si="21"/>
        <v>1</v>
      </c>
      <c r="AY27" s="39">
        <f t="shared" si="21"/>
        <v>1</v>
      </c>
      <c r="AZ27" s="39">
        <f t="shared" si="21"/>
        <v>1</v>
      </c>
      <c r="BA27" s="39">
        <f t="shared" si="21"/>
        <v>1</v>
      </c>
      <c r="BB27" s="39">
        <f t="shared" si="21"/>
        <v>1</v>
      </c>
      <c r="BC27" s="39">
        <f t="shared" si="21"/>
        <v>1</v>
      </c>
      <c r="BD27" s="39">
        <f t="shared" si="21"/>
        <v>1</v>
      </c>
      <c r="BE27" s="39">
        <f t="shared" si="21"/>
        <v>1</v>
      </c>
      <c r="BF27" s="39">
        <f t="shared" si="21"/>
        <v>1</v>
      </c>
      <c r="BG27" s="39">
        <f t="shared" si="21"/>
        <v>1</v>
      </c>
      <c r="BH27" s="39">
        <f t="shared" si="21"/>
        <v>1</v>
      </c>
      <c r="BI27" s="39">
        <f t="shared" si="21"/>
        <v>1</v>
      </c>
      <c r="BJ27" s="39">
        <f t="shared" si="21"/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showGridLines="0" zoomScaleNormal="100" workbookViewId="0">
      <selection activeCell="L14" sqref="L14"/>
    </sheetView>
  </sheetViews>
  <sheetFormatPr baseColWidth="10" defaultColWidth="8.6640625" defaultRowHeight="15" x14ac:dyDescent="0.2"/>
  <cols>
    <col min="1" max="1" width="38" customWidth="1"/>
    <col min="2" max="12" width="13" customWidth="1"/>
  </cols>
  <sheetData>
    <row r="1" spans="1:14" ht="24" customHeight="1" x14ac:dyDescent="0.2">
      <c r="A1" s="5" t="s">
        <v>123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4" ht="15.75" customHeight="1" x14ac:dyDescent="0.2">
      <c r="A2" s="4" t="s">
        <v>124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4" x14ac:dyDescent="0.2">
      <c r="B4" s="3" t="s">
        <v>125</v>
      </c>
      <c r="C4" s="3"/>
      <c r="D4" s="3"/>
      <c r="E4" s="3"/>
      <c r="F4" s="3"/>
      <c r="H4" s="2" t="s">
        <v>126</v>
      </c>
      <c r="I4" s="2"/>
      <c r="J4" s="2"/>
      <c r="K4" s="2"/>
      <c r="L4" s="2"/>
    </row>
    <row r="5" spans="1:14" x14ac:dyDescent="0.2">
      <c r="B5" s="40" t="s">
        <v>16</v>
      </c>
      <c r="C5" s="40" t="s">
        <v>17</v>
      </c>
      <c r="D5" s="40" t="s">
        <v>18</v>
      </c>
      <c r="E5" s="40" t="s">
        <v>19</v>
      </c>
      <c r="F5" s="40" t="s">
        <v>20</v>
      </c>
      <c r="H5" s="40" t="s">
        <v>16</v>
      </c>
      <c r="I5" s="40" t="s">
        <v>17</v>
      </c>
      <c r="J5" s="40" t="s">
        <v>18</v>
      </c>
      <c r="K5" s="40" t="s">
        <v>19</v>
      </c>
      <c r="L5" s="40" t="s">
        <v>20</v>
      </c>
    </row>
    <row r="6" spans="1:14" x14ac:dyDescent="0.2">
      <c r="A6" s="20" t="s">
        <v>127</v>
      </c>
      <c r="B6" s="41">
        <f>'Solo - Monthly Model'!N11</f>
        <v>30.162274228795795</v>
      </c>
      <c r="C6" s="41">
        <f>'Solo - Monthly Model'!Z11</f>
        <v>89.063928177852659</v>
      </c>
      <c r="D6" s="41">
        <f>'Solo - Monthly Model'!AL11</f>
        <v>172.77234997414848</v>
      </c>
      <c r="E6" s="41">
        <f>'Solo - Monthly Model'!AX11</f>
        <v>268.53338232175139</v>
      </c>
      <c r="F6" s="41">
        <f>'Solo - Monthly Model'!BJ11</f>
        <v>371.96148214101726</v>
      </c>
      <c r="H6" s="42">
        <f>'Team - Monthly Model'!N11</f>
        <v>30.162274228795795</v>
      </c>
      <c r="I6" s="42">
        <f>'Team - Monthly Model'!Z11</f>
        <v>125.66579614407283</v>
      </c>
      <c r="J6" s="42">
        <f>'Team - Monthly Model'!AL11</f>
        <v>301.13562309392847</v>
      </c>
      <c r="K6" s="42">
        <f>'Team - Monthly Model'!AX11</f>
        <v>538.07900125326557</v>
      </c>
      <c r="L6" s="42">
        <f>'Team - Monthly Model'!BJ11</f>
        <v>837.6707780878329</v>
      </c>
    </row>
    <row r="7" spans="1:14" x14ac:dyDescent="0.2">
      <c r="A7" s="20" t="s">
        <v>128</v>
      </c>
      <c r="B7" s="41">
        <f>SUM('Solo - Monthly Model'!C8:N8)</f>
        <v>36</v>
      </c>
      <c r="C7" s="41">
        <f>SUM('Solo - Monthly Model'!O8:Z8)</f>
        <v>84</v>
      </c>
      <c r="D7" s="41">
        <f>SUM('Solo - Monthly Model'!AA8:AL8)</f>
        <v>132</v>
      </c>
      <c r="E7" s="41">
        <f>SUM('Solo - Monthly Model'!AM8:AX8)</f>
        <v>168</v>
      </c>
      <c r="F7" s="41">
        <f>SUM('Solo - Monthly Model'!AY8:BJ8)</f>
        <v>197.99999999999997</v>
      </c>
      <c r="H7" s="42">
        <f>SUM('Team - Monthly Model'!C8:N8)</f>
        <v>36</v>
      </c>
      <c r="I7" s="42">
        <f>SUM('Team - Monthly Model'!O8:Z8)</f>
        <v>119.99999999999999</v>
      </c>
      <c r="J7" s="42">
        <f>SUM('Team - Monthly Model'!AA8:AL8)</f>
        <v>228</v>
      </c>
      <c r="K7" s="42">
        <f>SUM('Team - Monthly Model'!AM8:AX8)</f>
        <v>324.00000000000006</v>
      </c>
      <c r="L7" s="42">
        <f>SUM('Team - Monthly Model'!AY8:BJ8)</f>
        <v>420</v>
      </c>
    </row>
    <row r="8" spans="1:14" x14ac:dyDescent="0.2">
      <c r="A8" s="20" t="s">
        <v>129</v>
      </c>
      <c r="B8" s="41">
        <f>SUM('Solo - Monthly Model'!C10:N10)</f>
        <v>5.837725771204207</v>
      </c>
      <c r="C8" s="41">
        <f>SUM('Solo - Monthly Model'!O10:Z10)</f>
        <v>25.098346050943142</v>
      </c>
      <c r="D8" s="41">
        <f>SUM('Solo - Monthly Model'!AA10:AL10)</f>
        <v>48.291578203704184</v>
      </c>
      <c r="E8" s="41">
        <f>SUM('Solo - Monthly Model'!AM10:AX10)</f>
        <v>72.238967652397022</v>
      </c>
      <c r="F8" s="41">
        <f>SUM('Solo - Monthly Model'!AY10:BJ10)</f>
        <v>94.571900180733977</v>
      </c>
      <c r="H8" s="42">
        <f>SUM('Team - Monthly Model'!C10:N10)</f>
        <v>5.837725771204207</v>
      </c>
      <c r="I8" s="42">
        <f>SUM('Team - Monthly Model'!O10:Z10)</f>
        <v>24.496478084722959</v>
      </c>
      <c r="J8" s="42">
        <f>SUM('Team - Monthly Model'!AA10:AL10)</f>
        <v>52.530173050144406</v>
      </c>
      <c r="K8" s="42">
        <f>SUM('Team - Monthly Model'!AM10:AX10)</f>
        <v>87.056621840662814</v>
      </c>
      <c r="L8" s="42">
        <f>SUM('Team - Monthly Model'!AY10:BJ10)</f>
        <v>120.40822316543264</v>
      </c>
    </row>
    <row r="9" spans="1:14" x14ac:dyDescent="0.2">
      <c r="A9" s="20" t="s">
        <v>130</v>
      </c>
      <c r="B9" s="43">
        <f>'Solo - Monthly Model'!N13</f>
        <v>6032.4548457591591</v>
      </c>
      <c r="C9" s="43">
        <f>'Solo - Monthly Model'!Z13</f>
        <v>17812.785635570533</v>
      </c>
      <c r="D9" s="43">
        <f>'Solo - Monthly Model'!AL13</f>
        <v>34554.469994829698</v>
      </c>
      <c r="E9" s="43">
        <f>'Solo - Monthly Model'!AX13</f>
        <v>53706.676464350276</v>
      </c>
      <c r="F9" s="43">
        <f>'Solo - Monthly Model'!BJ13</f>
        <v>74392.296428203452</v>
      </c>
      <c r="H9" s="44">
        <f>'Team - Monthly Model'!N13</f>
        <v>6032.4548457591591</v>
      </c>
      <c r="I9" s="44">
        <f>'Team - Monthly Model'!Z13</f>
        <v>25133.159228814566</v>
      </c>
      <c r="J9" s="44">
        <f>'Team - Monthly Model'!AL13</f>
        <v>60227.124618785696</v>
      </c>
      <c r="K9" s="44">
        <f>'Team - Monthly Model'!AX13</f>
        <v>107615.80025065312</v>
      </c>
      <c r="L9" s="44">
        <f>'Team - Monthly Model'!BJ13</f>
        <v>167534.15561756658</v>
      </c>
    </row>
    <row r="10" spans="1:14" x14ac:dyDescent="0.2">
      <c r="A10" s="20" t="s">
        <v>131</v>
      </c>
      <c r="B10" s="43">
        <f>'Solo - Monthly Model'!N14</f>
        <v>72389.458149109909</v>
      </c>
      <c r="C10" s="43">
        <f>'Solo - Monthly Model'!Z14</f>
        <v>213753.42762684642</v>
      </c>
      <c r="D10" s="43">
        <f>'Solo - Monthly Model'!AL14</f>
        <v>414653.63993795635</v>
      </c>
      <c r="E10" s="43">
        <f>'Solo - Monthly Model'!AX14</f>
        <v>644480.11757220328</v>
      </c>
      <c r="F10" s="43">
        <f>'Solo - Monthly Model'!BJ14</f>
        <v>892707.55713844136</v>
      </c>
      <c r="H10" s="44">
        <f>'Team - Monthly Model'!N14</f>
        <v>72389.458149109909</v>
      </c>
      <c r="I10" s="44">
        <f>'Team - Monthly Model'!Z14</f>
        <v>301597.9107457748</v>
      </c>
      <c r="J10" s="44">
        <f>'Team - Monthly Model'!AL14</f>
        <v>722725.49542542838</v>
      </c>
      <c r="K10" s="44">
        <f>'Team - Monthly Model'!AX14</f>
        <v>1291389.6030078374</v>
      </c>
      <c r="L10" s="44">
        <f>'Team - Monthly Model'!BJ14</f>
        <v>2010409.867410799</v>
      </c>
    </row>
    <row r="11" spans="1:14" x14ac:dyDescent="0.2">
      <c r="A11" s="20" t="s">
        <v>132</v>
      </c>
      <c r="B11" s="43">
        <f>SUM('Solo - Monthly Model'!C13:N13)</f>
        <v>31977.902717777855</v>
      </c>
      <c r="C11" s="43">
        <f>SUM('Solo - Monthly Model'!O13:Z13)</f>
        <v>143876.88895267001</v>
      </c>
      <c r="D11" s="43">
        <f>SUM('Solo - Monthly Model'!AA13:AL13)</f>
        <v>318564.04813241027</v>
      </c>
      <c r="E11" s="43">
        <f>SUM('Solo - Monthly Model'!AM13:AX13)</f>
        <v>535144.83255807078</v>
      </c>
      <c r="F11" s="43">
        <f>SUM('Solo - Monthly Model'!AY13:BJ13)</f>
        <v>777260.821409725</v>
      </c>
      <c r="H11" s="44">
        <f>SUM('Team - Monthly Model'!C13:N13)</f>
        <v>31977.902717777855</v>
      </c>
      <c r="I11" s="44">
        <f>SUM('Team - Monthly Model'!O13:Z13)</f>
        <v>182410.55828120845</v>
      </c>
      <c r="J11" s="44">
        <f>SUM('Team - Monthly Model'!AA13:AL13)</f>
        <v>512640.99311855674</v>
      </c>
      <c r="K11" s="44">
        <f>SUM('Team - Monthly Model'!AM13:AX13)</f>
        <v>1014684.4738614543</v>
      </c>
      <c r="L11" s="44">
        <f>SUM('Team - Monthly Model'!AY13:BJ13)</f>
        <v>1665361.3309060154</v>
      </c>
      <c r="N11" s="11" t="s">
        <v>133</v>
      </c>
    </row>
    <row r="12" spans="1:14" x14ac:dyDescent="0.2">
      <c r="A12" s="20" t="s">
        <v>134</v>
      </c>
      <c r="B12" s="43">
        <f>SUM('Solo - Monthly Model'!C17:N17)</f>
        <v>28780.112446000068</v>
      </c>
      <c r="C12" s="43">
        <f>SUM('Solo - Monthly Model'!O17:Z17)</f>
        <v>129489.20005740301</v>
      </c>
      <c r="D12" s="43">
        <f>SUM('Solo - Monthly Model'!AA17:AL17)</f>
        <v>286707.64331916929</v>
      </c>
      <c r="E12" s="43">
        <f>SUM('Solo - Monthly Model'!AM17:AX17)</f>
        <v>481630.3493022637</v>
      </c>
      <c r="F12" s="43">
        <f>SUM('Solo - Monthly Model'!AY17:BJ17)</f>
        <v>699534.73926875263</v>
      </c>
      <c r="H12" s="44">
        <f>SUM('Team - Monthly Model'!C17:N17)</f>
        <v>28780.112446000068</v>
      </c>
      <c r="I12" s="44">
        <f>SUM('Team - Monthly Model'!O17:Z17)</f>
        <v>164169.50245308763</v>
      </c>
      <c r="J12" s="44">
        <f>SUM('Team - Monthly Model'!AA17:AL17)</f>
        <v>461376.89380670112</v>
      </c>
      <c r="K12" s="44">
        <f>SUM('Team - Monthly Model'!AM17:AX17)</f>
        <v>913216.02647530893</v>
      </c>
      <c r="L12" s="44">
        <f>SUM('Team - Monthly Model'!AY17:BJ17)</f>
        <v>1498825.1978154138</v>
      </c>
    </row>
    <row r="13" spans="1:14" x14ac:dyDescent="0.2">
      <c r="A13" s="20" t="s">
        <v>135</v>
      </c>
      <c r="B13" s="43">
        <f>SUM('Solo - Monthly Model'!C22:N22)</f>
        <v>600</v>
      </c>
      <c r="C13" s="43">
        <f>SUM('Solo - Monthly Model'!O22:Z22)</f>
        <v>1440</v>
      </c>
      <c r="D13" s="43">
        <f>SUM('Solo - Monthly Model'!AA22:AL22)</f>
        <v>2400</v>
      </c>
      <c r="E13" s="43">
        <f>SUM('Solo - Monthly Model'!AM22:AX22)</f>
        <v>3600</v>
      </c>
      <c r="F13" s="43">
        <f>SUM('Solo - Monthly Model'!AY22:BJ22)</f>
        <v>4800</v>
      </c>
      <c r="H13" s="44">
        <f>SUM('Team - Monthly Model'!C22:N22)</f>
        <v>1800</v>
      </c>
      <c r="I13" s="44">
        <f>SUM('Team - Monthly Model'!O22:Z22)</f>
        <v>55999.999999999993</v>
      </c>
      <c r="J13" s="44">
        <f>SUM('Team - Monthly Model'!AA22:AL22)</f>
        <v>141999.99999999997</v>
      </c>
      <c r="K13" s="44">
        <f>SUM('Team - Monthly Model'!AM22:AX22)</f>
        <v>187999.99999999997</v>
      </c>
      <c r="L13" s="44">
        <f>SUM('Team - Monthly Model'!AY22:BJ22)</f>
        <v>244000.00000000003</v>
      </c>
    </row>
    <row r="14" spans="1:14" x14ac:dyDescent="0.2">
      <c r="A14" s="20" t="s">
        <v>136</v>
      </c>
      <c r="B14" s="43">
        <f>SUM('Solo - Monthly Model'!C24:N24)</f>
        <v>28180.112446000068</v>
      </c>
      <c r="C14" s="43">
        <f>SUM('Solo - Monthly Model'!O24:Z24)</f>
        <v>128049.20005740301</v>
      </c>
      <c r="D14" s="43">
        <f>SUM('Solo - Monthly Model'!AA24:AL24)</f>
        <v>284307.64331916929</v>
      </c>
      <c r="E14" s="43">
        <f>SUM('Solo - Monthly Model'!AM24:AX24)</f>
        <v>478030.3493022637</v>
      </c>
      <c r="F14" s="43">
        <f>SUM('Solo - Monthly Model'!AY24:BJ24)</f>
        <v>694734.73926875263</v>
      </c>
      <c r="H14" s="44">
        <f>SUM('Team - Monthly Model'!C24:N24)</f>
        <v>26980.112446000068</v>
      </c>
      <c r="I14" s="44">
        <f>SUM('Team - Monthly Model'!O24:Z24)</f>
        <v>108169.50245308763</v>
      </c>
      <c r="J14" s="44">
        <f>SUM('Team - Monthly Model'!AA24:AL24)</f>
        <v>319376.893806701</v>
      </c>
      <c r="K14" s="44">
        <f>SUM('Team - Monthly Model'!AM24:AX24)</f>
        <v>725216.02647530893</v>
      </c>
      <c r="L14" s="44">
        <f>SUM('Team - Monthly Model'!AY24:BJ24)</f>
        <v>1254825.1978154138</v>
      </c>
      <c r="N14" s="11" t="s">
        <v>137</v>
      </c>
    </row>
    <row r="15" spans="1:14" x14ac:dyDescent="0.2">
      <c r="A15" s="20" t="s">
        <v>138</v>
      </c>
      <c r="B15" s="43">
        <f>'Solo - Monthly Model'!N25</f>
        <v>28180.112446000068</v>
      </c>
      <c r="C15" s="43">
        <f>'Solo - Monthly Model'!Z25</f>
        <v>156229.31250340308</v>
      </c>
      <c r="D15" s="43">
        <f>'Solo - Monthly Model'!AL25</f>
        <v>440536.9558225724</v>
      </c>
      <c r="E15" s="43">
        <f>'Solo - Monthly Model'!AX25</f>
        <v>918567.30512483593</v>
      </c>
      <c r="F15" s="43">
        <f>'Solo - Monthly Model'!BJ25</f>
        <v>1613302.0443935886</v>
      </c>
      <c r="H15" s="44">
        <f>'Team - Monthly Model'!N25</f>
        <v>26980.112446000068</v>
      </c>
      <c r="I15" s="44">
        <f>'Team - Monthly Model'!Z25</f>
        <v>135149.61489908767</v>
      </c>
      <c r="J15" s="44">
        <f>'Team - Monthly Model'!AL25</f>
        <v>454526.5087057887</v>
      </c>
      <c r="K15" s="44">
        <f>'Team - Monthly Model'!AX25</f>
        <v>1179742.5351810975</v>
      </c>
      <c r="L15" s="44">
        <f>'Team - Monthly Model'!BJ25</f>
        <v>2434567.7329965113</v>
      </c>
    </row>
    <row r="16" spans="1:14" x14ac:dyDescent="0.2">
      <c r="A16" s="20" t="s">
        <v>139</v>
      </c>
      <c r="B16" s="45">
        <f>IFERROR('Solo - Monthly Model'!N11/Assumptions!$B$12,0)</f>
        <v>5.1506615827861674E-3</v>
      </c>
      <c r="C16" s="45">
        <f>IFERROR('Solo - Monthly Model'!Z11/Assumptions!$B$12,0)</f>
        <v>1.5209004128731669E-2</v>
      </c>
      <c r="D16" s="45">
        <f>IFERROR('Solo - Monthly Model'!AL11/Assumptions!$B$12,0)</f>
        <v>2.9503475063891477E-2</v>
      </c>
      <c r="E16" s="45">
        <f>IFERROR('Solo - Monthly Model'!AX11/Assumptions!$B$12,0)</f>
        <v>4.5856110369151534E-2</v>
      </c>
      <c r="F16" s="45">
        <f>IFERROR('Solo - Monthly Model'!BJ11/Assumptions!$B$12,0)</f>
        <v>6.3518012660692832E-2</v>
      </c>
      <c r="H16" s="46">
        <f>IFERROR('Team - Monthly Model'!N11/Assumptions!$B$12,0)</f>
        <v>5.1506615827861674E-3</v>
      </c>
      <c r="I16" s="46">
        <f>IFERROR('Team - Monthly Model'!Z11/Assumptions!$B$12,0)</f>
        <v>2.1459323112034294E-2</v>
      </c>
      <c r="J16" s="46">
        <f>IFERROR('Team - Monthly Model'!AL11/Assumptions!$B$12,0)</f>
        <v>5.142343290538396E-2</v>
      </c>
      <c r="K16" s="46">
        <f>IFERROR('Team - Monthly Model'!AX11/Assumptions!$B$12,0)</f>
        <v>9.1885075350625955E-2</v>
      </c>
      <c r="L16" s="46">
        <f>IFERROR('Team - Monthly Model'!BJ11/Assumptions!$B$12,0)</f>
        <v>0.14304487330734852</v>
      </c>
      <c r="N16" s="11" t="s">
        <v>140</v>
      </c>
    </row>
    <row r="18" spans="1:12" ht="15.75" customHeight="1" x14ac:dyDescent="0.2">
      <c r="A18" s="6" t="s">
        <v>141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">
      <c r="B19" s="47" t="s">
        <v>142</v>
      </c>
      <c r="C19" s="47" t="s">
        <v>143</v>
      </c>
    </row>
    <row r="20" spans="1:12" x14ac:dyDescent="0.2">
      <c r="A20" s="20" t="s">
        <v>144</v>
      </c>
      <c r="B20" s="48" t="str">
        <f>IF(MAX('Solo - Monthly Model'!$C$11:$BJ$11)&lt;100,"Not reached in 5 yrs","Month "&amp;(MATCH(100,'Solo - Monthly Model'!$C$11:$BJ$11,1)+1)&amp;" ("&amp;TEXT(EDATE(DATE(2026,8,1),MATCH(100,'Solo - Monthly Model'!$C$11:$BJ$11,1)),"mmm-yy")&amp;")")</f>
        <v>Month 26 (Sep-28)</v>
      </c>
      <c r="C20" s="49" t="str">
        <f>IF(MAX('Team - Monthly Model'!$C$11:$BJ$11)&lt;100,"Not reached in 5 yrs","Month "&amp;(MATCH(100,'Team - Monthly Model'!$C$11:$BJ$11,1)+1)&amp;" ("&amp;TEXT(EDATE(DATE(2026,8,1),MATCH(100,'Team - Monthly Model'!$C$11:$BJ$11,1)),"mmm-yy")&amp;")")</f>
        <v>Month 22 (May-28)</v>
      </c>
    </row>
    <row r="21" spans="1:12" x14ac:dyDescent="0.2">
      <c r="A21" s="20" t="s">
        <v>145</v>
      </c>
      <c r="B21" s="48" t="str">
        <f>IF(MAX('Solo - Monthly Model'!$C$13:$BJ$13)&lt;10000,"Not reached in 5 yrs","Month "&amp;(MATCH(10000,'Solo - Monthly Model'!$C$13:$BJ$13,1)+1)&amp;" ("&amp;TEXT(EDATE(DATE(2026,8,1),MATCH(10000,'Solo - Monthly Model'!$C$13:$BJ$13,1)),"mmm-yy")&amp;")")</f>
        <v>Month 17 (Dec-27)</v>
      </c>
      <c r="C21" s="49" t="str">
        <f>IF(MAX('Team - Monthly Model'!$C$13:$BJ$13)&lt;10000,"Not reached in 5 yrs","Month "&amp;(MATCH(10000,'Team - Monthly Model'!$C$13:$BJ$13,1)+1)&amp;" ("&amp;TEXT(EDATE(DATE(2026,8,1),MATCH(10000,'Team - Monthly Model'!$C$13:$BJ$13,1)),"mmm-yy")&amp;")")</f>
        <v>Month 16 (Nov-27)</v>
      </c>
    </row>
    <row r="22" spans="1:12" x14ac:dyDescent="0.2">
      <c r="A22" s="20" t="s">
        <v>146</v>
      </c>
      <c r="B22" s="48" t="str">
        <f>IF(MAX('Solo - Monthly Model'!$C$13:$BJ$13)&lt;50000,"Not reached in 5 yrs","Month "&amp;(MATCH(50000,'Solo - Monthly Model'!$C$13:$BJ$13,1)+1)&amp;" ("&amp;TEXT(EDATE(DATE(2026,8,1),MATCH(50000,'Solo - Monthly Model'!$C$13:$BJ$13,1)),"mmm-yy")&amp;")")</f>
        <v>Month 46 (May-30)</v>
      </c>
      <c r="C22" s="49" t="str">
        <f>IF(MAX('Team - Monthly Model'!$C$13:$BJ$13)&lt;50000,"Not reached in 5 yrs","Month "&amp;(MATCH(50000,'Team - Monthly Model'!$C$13:$BJ$13,1)+1)&amp;" ("&amp;TEXT(EDATE(DATE(2026,8,1),MATCH(50000,'Team - Monthly Model'!$C$13:$BJ$13,1)),"mmm-yy")&amp;")")</f>
        <v>Month 34 (May-29)</v>
      </c>
    </row>
    <row r="23" spans="1:12" x14ac:dyDescent="0.2">
      <c r="A23" s="20" t="s">
        <v>147</v>
      </c>
      <c r="B23" s="48" t="str">
        <f>IF(MAX('Solo - Monthly Model'!$C$13:$BJ$13)&lt;100000,"Not reached in 5 yrs","Month "&amp;(MATCH(100000,'Solo - Monthly Model'!$C$13:$BJ$13,1)+1)&amp;" ("&amp;TEXT(EDATE(DATE(2026,8,1),MATCH(100000,'Solo - Monthly Model'!$C$13:$BJ$13,1)),"mmm-yy")&amp;")")</f>
        <v>Not reached in 5 yrs</v>
      </c>
      <c r="C23" s="49" t="str">
        <f>IF(MAX('Team - Monthly Model'!$C$13:$BJ$13)&lt;100000,"Not reached in 5 yrs","Month "&amp;(MATCH(100000,'Team - Monthly Model'!$C$13:$BJ$13,1)+1)&amp;" ("&amp;TEXT(EDATE(DATE(2026,8,1),MATCH(100000,'Team - Monthly Model'!$C$13:$BJ$13,1)),"mmm-yy")&amp;")")</f>
        <v>Month 47 (Jun-30)</v>
      </c>
    </row>
    <row r="24" spans="1:12" x14ac:dyDescent="0.2">
      <c r="A24" s="20" t="s">
        <v>148</v>
      </c>
      <c r="B24" s="48" t="str">
        <f>IFERROR("Month "&amp;MATCH(1,'Solo - Monthly Model'!$C$27:$BJ$27,0)&amp;" ("&amp;TEXT(EDATE(DATE(2026,8,1),MATCH(1,'Solo - Monthly Model'!$C$27:$BJ$27,0)-1),"mmm-yy")&amp;")","Not within 5 yrs")</f>
        <v>Month 1 (Aug-26)</v>
      </c>
      <c r="C24" s="49" t="str">
        <f>IFERROR("Month "&amp;MATCH(1,'Team - Monthly Model'!$C$27:$BJ$27,0)&amp;" ("&amp;TEXT(EDATE(DATE(2026,8,1),MATCH(1,'Team - Monthly Model'!$C$27:$BJ$27,0)-1),"mmm-yy")&amp;")","Not within 5 yrs")</f>
        <v>Month 1 (Aug-26)</v>
      </c>
      <c r="E24" s="11" t="s">
        <v>149</v>
      </c>
    </row>
    <row r="26" spans="1:12" ht="25.5" customHeight="1" x14ac:dyDescent="0.2">
      <c r="A26" s="1" t="s">
        <v>150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mergeCells count="6">
    <mergeCell ref="A26:L26"/>
    <mergeCell ref="A1:L1"/>
    <mergeCell ref="A2:L2"/>
    <mergeCell ref="B4:F4"/>
    <mergeCell ref="H4:L4"/>
    <mergeCell ref="A18:L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Solo - Monthly Model</vt:lpstr>
      <vt:lpstr>Team - Monthly Model</vt:lpstr>
      <vt:lpstr>Annual Summary &amp;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mahon</cp:lastModifiedBy>
  <cp:revision>0</cp:revision>
  <dcterms:created xsi:type="dcterms:W3CDTF">2026-07-18T14:21:38Z</dcterms:created>
  <dcterms:modified xsi:type="dcterms:W3CDTF">2026-07-18T14:28:47Z</dcterms:modified>
  <dc:language>en-US</dc:language>
</cp:coreProperties>
</file>